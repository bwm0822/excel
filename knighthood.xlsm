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filterPrivacy="1" codeName="ThisWorkbook" defaultThemeVersion="124226"/>
  <bookViews>
    <workbookView xWindow="0" yWindow="20" windowWidth="19200" windowHeight="11020"/>
  </bookViews>
  <sheets>
    <sheet name="錘" sheetId="12" r:id="rId1"/>
    <sheet name="劍" sheetId="13" r:id="rId2"/>
    <sheet name="釜" sheetId="14" r:id="rId3"/>
    <sheet name="清單" sheetId="6" r:id="rId4"/>
    <sheet name="統計" sheetId="2" r:id="rId5"/>
  </sheets>
  <definedNames>
    <definedName name="護符">清單!$A$2:$A$1048576</definedName>
  </definedNames>
  <calcPr calcId="124519"/>
</workbook>
</file>

<file path=xl/calcChain.xml><?xml version="1.0" encoding="utf-8"?>
<calcChain xmlns="http://schemas.openxmlformats.org/spreadsheetml/2006/main">
  <c r="O18" i="2"/>
  <c r="O17"/>
  <c r="N18" l="1"/>
  <c r="N17"/>
  <c r="N16"/>
  <c r="N11"/>
  <c r="N10"/>
  <c r="N8"/>
  <c r="N9"/>
  <c r="P11" l="1"/>
  <c r="O11"/>
  <c r="P10"/>
  <c r="O10"/>
  <c r="O9"/>
  <c r="P9" s="1"/>
  <c r="P18"/>
  <c r="P17"/>
</calcChain>
</file>

<file path=xl/sharedStrings.xml><?xml version="1.0" encoding="utf-8"?>
<sst xmlns="http://schemas.openxmlformats.org/spreadsheetml/2006/main" count="166" uniqueCount="90">
  <si>
    <t>武器基本傷害</t>
    <phoneticPr fontId="1" type="noConversion"/>
  </si>
  <si>
    <t>護符</t>
    <phoneticPr fontId="1" type="noConversion"/>
  </si>
  <si>
    <t>拳套傷害加成</t>
    <phoneticPr fontId="1" type="noConversion"/>
  </si>
  <si>
    <t>拳套暴擊加成</t>
    <phoneticPr fontId="1" type="noConversion"/>
  </si>
  <si>
    <t>暴擊加成</t>
    <phoneticPr fontId="1" type="noConversion"/>
  </si>
  <si>
    <t>暴擊率</t>
    <phoneticPr fontId="1" type="noConversion"/>
  </si>
  <si>
    <t>基本暴擊率</t>
    <phoneticPr fontId="1" type="noConversion"/>
  </si>
  <si>
    <t>攻擊次數</t>
    <phoneticPr fontId="1" type="noConversion"/>
  </si>
  <si>
    <t>暴擊次數</t>
    <phoneticPr fontId="1" type="noConversion"/>
  </si>
  <si>
    <t>無</t>
    <phoneticPr fontId="1" type="noConversion"/>
  </si>
  <si>
    <t>憤怒機率</t>
  </si>
  <si>
    <t>集中機率</t>
  </si>
  <si>
    <t>爆傷加成</t>
  </si>
  <si>
    <t>爆擊機率</t>
  </si>
  <si>
    <t>首擊</t>
  </si>
  <si>
    <t>連擊x1</t>
  </si>
  <si>
    <t>連擊x2</t>
  </si>
  <si>
    <t>終擊</t>
  </si>
  <si>
    <t>總和</t>
  </si>
  <si>
    <t>傷害(無爆擊)</t>
  </si>
  <si>
    <t>傷害(爆擊)</t>
  </si>
  <si>
    <t>傷害(期望值)</t>
  </si>
  <si>
    <t>傷害(無爆擊+憤怒)</t>
  </si>
  <si>
    <t>傷害(爆擊+憤怒)</t>
  </si>
  <si>
    <t>護符</t>
    <phoneticPr fontId="1" type="noConversion"/>
  </si>
  <si>
    <t>無或其他</t>
    <phoneticPr fontId="1" type="noConversion"/>
  </si>
  <si>
    <t>+10% 憤怒機率</t>
    <phoneticPr fontId="1" type="noConversion"/>
  </si>
  <si>
    <t>+20% 憤怒機率</t>
    <phoneticPr fontId="1" type="noConversion"/>
  </si>
  <si>
    <t>+30% 憤怒機率</t>
    <phoneticPr fontId="1" type="noConversion"/>
  </si>
  <si>
    <t>+40% 憤怒機率</t>
    <phoneticPr fontId="1" type="noConversion"/>
  </si>
  <si>
    <t>+50% 憤怒機率</t>
    <phoneticPr fontId="1" type="noConversion"/>
  </si>
  <si>
    <t>+10% 集中機率</t>
    <phoneticPr fontId="1" type="noConversion"/>
  </si>
  <si>
    <t>+20% 集中機率</t>
    <phoneticPr fontId="1" type="noConversion"/>
  </si>
  <si>
    <t>+30% 集中機率</t>
    <phoneticPr fontId="1" type="noConversion"/>
  </si>
  <si>
    <t>+40% 集中機率</t>
    <phoneticPr fontId="1" type="noConversion"/>
  </si>
  <si>
    <t>+50% 集中機率</t>
    <phoneticPr fontId="1" type="noConversion"/>
  </si>
  <si>
    <t>護符1</t>
    <phoneticPr fontId="1" type="noConversion"/>
  </si>
  <si>
    <t>護符2</t>
    <phoneticPr fontId="1" type="noConversion"/>
  </si>
  <si>
    <t>護符3</t>
    <phoneticPr fontId="1" type="noConversion"/>
  </si>
  <si>
    <t>護符4</t>
    <phoneticPr fontId="1" type="noConversion"/>
  </si>
  <si>
    <t>護符5</t>
    <phoneticPr fontId="1" type="noConversion"/>
  </si>
  <si>
    <t>連擊爆擊傷害加成</t>
  </si>
  <si>
    <t>終擊爆擊傷害加成</t>
  </si>
  <si>
    <t>連擊爆擊機率加成</t>
  </si>
  <si>
    <t>終擊爆擊機率加成</t>
  </si>
  <si>
    <t>+20% 連擊爆傷</t>
    <phoneticPr fontId="1" type="noConversion"/>
  </si>
  <si>
    <t>+40% 連擊爆傷</t>
    <phoneticPr fontId="1" type="noConversion"/>
  </si>
  <si>
    <t>+60% 連擊爆傷</t>
    <phoneticPr fontId="1" type="noConversion"/>
  </si>
  <si>
    <t>+80% 連擊爆傷</t>
    <phoneticPr fontId="1" type="noConversion"/>
  </si>
  <si>
    <t>+100% 連擊爆傷</t>
    <phoneticPr fontId="1" type="noConversion"/>
  </si>
  <si>
    <t>+10% 連擊爆率</t>
    <phoneticPr fontId="1" type="noConversion"/>
  </si>
  <si>
    <t>+20% 連擊爆率</t>
    <phoneticPr fontId="1" type="noConversion"/>
  </si>
  <si>
    <t>+30% 連擊爆率</t>
    <phoneticPr fontId="1" type="noConversion"/>
  </si>
  <si>
    <t>+40% 連擊爆率</t>
    <phoneticPr fontId="1" type="noConversion"/>
  </si>
  <si>
    <t>+50% 連擊爆率</t>
    <phoneticPr fontId="1" type="noConversion"/>
  </si>
  <si>
    <t>+60% 終擊爆傷</t>
    <phoneticPr fontId="1" type="noConversion"/>
  </si>
  <si>
    <t>+120% 終擊爆傷</t>
    <phoneticPr fontId="1" type="noConversion"/>
  </si>
  <si>
    <t>+150% 終擊爆傷</t>
    <phoneticPr fontId="1" type="noConversion"/>
  </si>
  <si>
    <t>+15% 終擊爆率</t>
    <phoneticPr fontId="1" type="noConversion"/>
  </si>
  <si>
    <t>+30% 終擊爆率</t>
    <phoneticPr fontId="1" type="noConversion"/>
  </si>
  <si>
    <t>+45% 終擊爆率</t>
    <phoneticPr fontId="1" type="noConversion"/>
  </si>
  <si>
    <t>+60% 終擊爆率</t>
    <phoneticPr fontId="1" type="noConversion"/>
  </si>
  <si>
    <t>+75% 終擊爆率</t>
    <phoneticPr fontId="1" type="noConversion"/>
  </si>
  <si>
    <t>+30% 終擊爆傷</t>
    <phoneticPr fontId="1" type="noConversion"/>
  </si>
  <si>
    <t>+90% 終擊爆傷</t>
    <phoneticPr fontId="1" type="noConversion"/>
  </si>
  <si>
    <t>著火</t>
    <phoneticPr fontId="1" type="noConversion"/>
  </si>
  <si>
    <t>著火傷害</t>
  </si>
  <si>
    <t>+10% 著火傷害</t>
  </si>
  <si>
    <t>+20% 著火傷害</t>
  </si>
  <si>
    <t>+30% 著火傷害</t>
  </si>
  <si>
    <t>+40% 著火傷害</t>
  </si>
  <si>
    <t>+50% 著火傷害</t>
  </si>
  <si>
    <t>+30% 終擊著火傷害</t>
  </si>
  <si>
    <t>+60% 終擊著火傷害</t>
  </si>
  <si>
    <t>+90% 終擊著火傷害</t>
  </si>
  <si>
    <t>+120% 終擊著火傷害</t>
  </si>
  <si>
    <t>+150% 終擊著火傷害</t>
  </si>
  <si>
    <t>終擊火傷</t>
  </si>
  <si>
    <t>狀態</t>
    <phoneticPr fontId="1" type="noConversion"/>
  </si>
  <si>
    <t>+40% 憤怒機率</t>
  </si>
  <si>
    <t>無或其他</t>
  </si>
  <si>
    <t>+30% 憤怒機率</t>
  </si>
  <si>
    <t>+45% 終擊爆率</t>
  </si>
  <si>
    <t>+90% 終擊爆傷</t>
  </si>
  <si>
    <t>+30% 終擊爆率</t>
  </si>
  <si>
    <t>+120% 終擊爆傷</t>
  </si>
  <si>
    <t>+40% 集中機率</t>
  </si>
  <si>
    <t>爆擊機率(集中)</t>
  </si>
  <si>
    <t>0.37 (0.62)</t>
  </si>
  <si>
    <t>0.67 (0.92)</t>
  </si>
</sst>
</file>

<file path=xl/styles.xml><?xml version="1.0" encoding="utf-8"?>
<styleSheet xmlns="http://schemas.openxmlformats.org/spreadsheetml/2006/main">
  <fonts count="6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sz val="12"/>
      <color rgb="FF000000"/>
      <name val="新細明體"/>
      <family val="1"/>
      <charset val="136"/>
      <scheme val="minor"/>
    </font>
    <font>
      <sz val="12"/>
      <name val="新細明體"/>
      <family val="2"/>
      <charset val="136"/>
      <scheme val="minor"/>
    </font>
    <font>
      <sz val="9"/>
      <name val="新細明體"/>
      <family val="1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Fill="1">
      <alignment vertical="center"/>
    </xf>
    <xf numFmtId="0" fontId="2" fillId="0" borderId="0" xfId="0" applyFont="1" applyAlignment="1">
      <alignment vertical="center" wrapText="1"/>
    </xf>
    <xf numFmtId="0" fontId="2" fillId="0" borderId="0" xfId="0" applyFont="1" applyFill="1" applyAlignment="1">
      <alignment vertical="center" wrapText="1"/>
    </xf>
    <xf numFmtId="0" fontId="4" fillId="0" borderId="0" xfId="0" applyFont="1" applyFill="1">
      <alignment vertic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2" fillId="2" borderId="0" xfId="0" applyFont="1" applyFill="1" applyAlignment="1" applyProtection="1">
      <alignment horizontal="center" vertical="center" wrapText="1"/>
      <protection locked="0"/>
    </xf>
    <xf numFmtId="0" fontId="2" fillId="2" borderId="0" xfId="0" applyNumberFormat="1" applyFont="1" applyFill="1" applyAlignment="1" applyProtection="1">
      <alignment horizontal="center" vertical="center" wrapText="1"/>
      <protection locked="0"/>
    </xf>
  </cellXfs>
  <cellStyles count="1">
    <cellStyle name="一般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Q15"/>
  <sheetViews>
    <sheetView tabSelected="1" workbookViewId="0">
      <selection activeCell="I15" sqref="I15"/>
    </sheetView>
  </sheetViews>
  <sheetFormatPr defaultRowHeight="15.5"/>
  <cols>
    <col min="1" max="1" width="17.1796875" style="1" customWidth="1"/>
    <col min="2" max="2" width="21.1796875" style="3" customWidth="1"/>
    <col min="3" max="3" width="14.1796875" style="1" customWidth="1"/>
    <col min="4" max="4" width="12.08984375" style="1" customWidth="1"/>
    <col min="5" max="5" width="13.453125" style="1" customWidth="1"/>
    <col min="6" max="7" width="12.26953125" style="1" customWidth="1"/>
    <col min="8" max="9" width="10.26953125" style="1" customWidth="1"/>
    <col min="10" max="10" width="11.54296875" style="1" customWidth="1"/>
    <col min="11" max="11" width="8.90625" style="1" customWidth="1"/>
    <col min="12" max="12" width="14.1796875" style="1" customWidth="1"/>
    <col min="13" max="13" width="14.90625" style="1" customWidth="1"/>
    <col min="14" max="14" width="10.6328125" style="1" customWidth="1"/>
    <col min="15" max="16" width="8.7265625" style="1"/>
    <col min="17" max="17" width="19.453125" style="1" customWidth="1"/>
    <col min="18" max="16384" width="8.7265625" style="1"/>
  </cols>
  <sheetData>
    <row r="1" spans="1:17" ht="46" customHeight="1">
      <c r="B1" s="1"/>
      <c r="C1" s="6" t="s">
        <v>36</v>
      </c>
      <c r="D1" s="6" t="s">
        <v>37</v>
      </c>
      <c r="E1" s="6" t="s">
        <v>38</v>
      </c>
      <c r="F1" s="6" t="s">
        <v>39</v>
      </c>
      <c r="G1" s="6" t="s">
        <v>40</v>
      </c>
      <c r="H1" s="6" t="s">
        <v>0</v>
      </c>
      <c r="I1" s="6" t="s">
        <v>2</v>
      </c>
      <c r="J1" s="6" t="s">
        <v>3</v>
      </c>
      <c r="K1" s="7" t="s">
        <v>65</v>
      </c>
      <c r="Q1" s="1" t="s">
        <v>1</v>
      </c>
    </row>
    <row r="2" spans="1:17" s="3" customFormat="1" ht="55" customHeight="1">
      <c r="A2" s="6" t="s">
        <v>78</v>
      </c>
      <c r="C2" s="8" t="s">
        <v>83</v>
      </c>
      <c r="D2" s="8" t="s">
        <v>84</v>
      </c>
      <c r="E2" s="8" t="s">
        <v>85</v>
      </c>
      <c r="F2" s="8" t="s">
        <v>86</v>
      </c>
      <c r="G2" s="8" t="s">
        <v>80</v>
      </c>
      <c r="H2" s="9">
        <v>4744</v>
      </c>
      <c r="I2" s="9">
        <v>0.27</v>
      </c>
      <c r="J2" s="9">
        <v>0.2</v>
      </c>
      <c r="K2" s="3" t="b">
        <v>0</v>
      </c>
      <c r="M2" s="4"/>
      <c r="Q2" s="3" t="s">
        <v>9</v>
      </c>
    </row>
    <row r="3" spans="1:17" ht="15.5" customHeight="1">
      <c r="C3" s="2"/>
      <c r="D3" s="2"/>
      <c r="E3" s="2"/>
      <c r="F3" s="2"/>
      <c r="Q3" s="3"/>
    </row>
    <row r="4" spans="1:17">
      <c r="B4" s="3" t="s">
        <v>41</v>
      </c>
      <c r="C4" s="1">
        <v>0</v>
      </c>
      <c r="D4" s="1" t="s">
        <v>10</v>
      </c>
      <c r="E4" s="1">
        <v>0</v>
      </c>
    </row>
    <row r="5" spans="1:17">
      <c r="B5" s="3" t="s">
        <v>43</v>
      </c>
      <c r="C5" s="1">
        <v>0</v>
      </c>
      <c r="D5" s="1" t="s">
        <v>11</v>
      </c>
      <c r="E5" s="1">
        <v>0.4</v>
      </c>
    </row>
    <row r="6" spans="1:17">
      <c r="B6" s="3" t="s">
        <v>42</v>
      </c>
      <c r="C6" s="1">
        <v>2.1</v>
      </c>
      <c r="D6" s="1" t="s">
        <v>66</v>
      </c>
      <c r="E6" s="1">
        <v>0</v>
      </c>
    </row>
    <row r="7" spans="1:17">
      <c r="B7" s="3" t="s">
        <v>44</v>
      </c>
      <c r="C7" s="1">
        <v>0.3</v>
      </c>
      <c r="D7" s="1" t="s">
        <v>77</v>
      </c>
      <c r="E7" s="1">
        <v>0</v>
      </c>
    </row>
    <row r="9" spans="1:17">
      <c r="C9" s="1" t="s">
        <v>14</v>
      </c>
      <c r="D9" s="1" t="s">
        <v>15</v>
      </c>
      <c r="E9" s="1" t="s">
        <v>16</v>
      </c>
      <c r="F9" s="1" t="s">
        <v>17</v>
      </c>
      <c r="H9" s="1" t="s">
        <v>18</v>
      </c>
    </row>
    <row r="10" spans="1:17">
      <c r="B10" s="3" t="s">
        <v>12</v>
      </c>
      <c r="C10" s="1">
        <v>1.5</v>
      </c>
      <c r="D10" s="1">
        <v>1.5</v>
      </c>
      <c r="E10" s="1">
        <v>1.5</v>
      </c>
      <c r="F10" s="1">
        <v>3.6</v>
      </c>
    </row>
    <row r="11" spans="1:17">
      <c r="B11" s="3" t="s">
        <v>87</v>
      </c>
      <c r="C11" s="1" t="s">
        <v>88</v>
      </c>
      <c r="D11" s="1" t="s">
        <v>88</v>
      </c>
      <c r="E11" s="1" t="s">
        <v>88</v>
      </c>
      <c r="F11" s="1" t="s">
        <v>89</v>
      </c>
    </row>
    <row r="13" spans="1:17">
      <c r="B13" s="3" t="s">
        <v>19</v>
      </c>
      <c r="C13" s="1">
        <v>6025</v>
      </c>
      <c r="D13" s="1">
        <v>7211</v>
      </c>
      <c r="E13" s="1">
        <v>7211</v>
      </c>
      <c r="F13" s="1">
        <v>8397</v>
      </c>
      <c r="H13" s="1">
        <v>28844</v>
      </c>
    </row>
    <row r="14" spans="1:17">
      <c r="B14" s="3" t="s">
        <v>20</v>
      </c>
      <c r="C14" s="1">
        <v>9037</v>
      </c>
      <c r="D14" s="1">
        <v>10816</v>
      </c>
      <c r="E14" s="1">
        <v>10816</v>
      </c>
      <c r="F14" s="1">
        <v>30229</v>
      </c>
      <c r="H14" s="1">
        <v>60899</v>
      </c>
    </row>
    <row r="15" spans="1:17">
      <c r="B15" s="3" t="s">
        <v>21</v>
      </c>
      <c r="C15" s="1">
        <v>7441</v>
      </c>
      <c r="D15" s="1">
        <v>8905</v>
      </c>
      <c r="E15" s="1">
        <v>8905</v>
      </c>
      <c r="F15" s="1">
        <v>25207</v>
      </c>
      <c r="H15" s="1">
        <v>50459</v>
      </c>
    </row>
  </sheetData>
  <protectedRanges>
    <protectedRange sqref="C2:J2" name="範圍1_1"/>
  </protectedRanges>
  <phoneticPr fontId="1" type="noConversion"/>
  <dataValidations count="1">
    <dataValidation type="list" allowBlank="1" showInputMessage="1" showErrorMessage="1" sqref="C2:G2">
      <formula1>護符</formula1>
    </dataValidation>
  </dataValidations>
  <pageMargins left="0.7" right="0.7" top="0.75" bottom="0.75" header="0.3" footer="0.3"/>
  <pageSetup paperSize="9" orientation="portrait" horizontalDpi="3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dimension ref="A1:Q17"/>
  <sheetViews>
    <sheetView topLeftCell="A7" workbookViewId="0">
      <selection activeCell="J23" sqref="J23"/>
    </sheetView>
  </sheetViews>
  <sheetFormatPr defaultRowHeight="15.5"/>
  <cols>
    <col min="1" max="1" width="17.1796875" style="1" customWidth="1"/>
    <col min="2" max="2" width="21.1796875" style="3" customWidth="1"/>
    <col min="3" max="3" width="14.1796875" style="1" customWidth="1"/>
    <col min="4" max="4" width="12.08984375" style="1" customWidth="1"/>
    <col min="5" max="5" width="13.453125" style="1" customWidth="1"/>
    <col min="6" max="7" width="12.26953125" style="1" customWidth="1"/>
    <col min="8" max="9" width="10.26953125" style="1" customWidth="1"/>
    <col min="10" max="10" width="11.54296875" style="1" customWidth="1"/>
    <col min="11" max="11" width="8.90625" style="1" customWidth="1"/>
    <col min="12" max="12" width="14.1796875" style="1" customWidth="1"/>
    <col min="13" max="13" width="14.90625" style="1" customWidth="1"/>
    <col min="14" max="14" width="10.6328125" style="1" customWidth="1"/>
    <col min="15" max="16" width="8.7265625" style="1"/>
    <col min="17" max="17" width="19.453125" style="1" customWidth="1"/>
    <col min="18" max="16384" width="8.7265625" style="1"/>
  </cols>
  <sheetData>
    <row r="1" spans="1:17" ht="46" customHeight="1">
      <c r="B1" s="1"/>
      <c r="C1" s="6" t="s">
        <v>36</v>
      </c>
      <c r="D1" s="6" t="s">
        <v>37</v>
      </c>
      <c r="E1" s="6" t="s">
        <v>38</v>
      </c>
      <c r="F1" s="6" t="s">
        <v>39</v>
      </c>
      <c r="G1" s="6" t="s">
        <v>40</v>
      </c>
      <c r="H1" s="6" t="s">
        <v>0</v>
      </c>
      <c r="I1" s="6" t="s">
        <v>2</v>
      </c>
      <c r="J1" s="6" t="s">
        <v>3</v>
      </c>
      <c r="K1" s="7" t="s">
        <v>65</v>
      </c>
      <c r="Q1" s="1" t="s">
        <v>1</v>
      </c>
    </row>
    <row r="2" spans="1:17" s="3" customFormat="1" ht="55" customHeight="1">
      <c r="A2" s="6" t="s">
        <v>78</v>
      </c>
      <c r="C2" s="8" t="s">
        <v>79</v>
      </c>
      <c r="D2" s="8" t="s">
        <v>80</v>
      </c>
      <c r="E2" s="8" t="s">
        <v>80</v>
      </c>
      <c r="F2" s="8" t="s">
        <v>81</v>
      </c>
      <c r="G2" s="8" t="s">
        <v>82</v>
      </c>
      <c r="H2" s="9">
        <v>5896</v>
      </c>
      <c r="I2" s="9">
        <v>0.33</v>
      </c>
      <c r="J2" s="9">
        <v>0.24</v>
      </c>
      <c r="K2" s="3" t="b">
        <v>0</v>
      </c>
      <c r="M2" s="4"/>
      <c r="Q2" s="3" t="s">
        <v>9</v>
      </c>
    </row>
    <row r="3" spans="1:17" ht="15.5" customHeight="1">
      <c r="C3" s="2"/>
      <c r="D3" s="2"/>
      <c r="E3" s="2"/>
      <c r="F3" s="2"/>
      <c r="Q3" s="3"/>
    </row>
    <row r="4" spans="1:17">
      <c r="B4" s="3" t="s">
        <v>41</v>
      </c>
      <c r="C4" s="1">
        <v>0</v>
      </c>
      <c r="D4" s="1" t="s">
        <v>10</v>
      </c>
      <c r="E4" s="1">
        <v>0.7</v>
      </c>
    </row>
    <row r="5" spans="1:17">
      <c r="B5" s="3" t="s">
        <v>43</v>
      </c>
      <c r="C5" s="1">
        <v>0</v>
      </c>
      <c r="D5" s="1" t="s">
        <v>11</v>
      </c>
      <c r="E5" s="1">
        <v>0</v>
      </c>
    </row>
    <row r="6" spans="1:17">
      <c r="B6" s="3" t="s">
        <v>42</v>
      </c>
      <c r="C6" s="1">
        <v>0</v>
      </c>
      <c r="D6" s="1" t="s">
        <v>66</v>
      </c>
      <c r="E6" s="1">
        <v>0</v>
      </c>
    </row>
    <row r="7" spans="1:17">
      <c r="B7" s="3" t="s">
        <v>44</v>
      </c>
      <c r="C7" s="1">
        <v>0.45</v>
      </c>
      <c r="D7" s="1" t="s">
        <v>77</v>
      </c>
      <c r="E7" s="1">
        <v>0</v>
      </c>
    </row>
    <row r="9" spans="1:17">
      <c r="C9" s="1" t="s">
        <v>14</v>
      </c>
      <c r="D9" s="1" t="s">
        <v>15</v>
      </c>
      <c r="E9" s="1" t="s">
        <v>16</v>
      </c>
      <c r="F9" s="1" t="s">
        <v>17</v>
      </c>
      <c r="H9" s="1" t="s">
        <v>18</v>
      </c>
    </row>
    <row r="10" spans="1:17">
      <c r="B10" s="3" t="s">
        <v>12</v>
      </c>
      <c r="C10" s="1">
        <v>1.5</v>
      </c>
      <c r="D10" s="1">
        <v>1.5</v>
      </c>
      <c r="E10" s="1">
        <v>1.5</v>
      </c>
      <c r="F10" s="1">
        <v>1.5</v>
      </c>
    </row>
    <row r="11" spans="1:17">
      <c r="B11" s="3" t="s">
        <v>13</v>
      </c>
      <c r="C11" s="1">
        <v>0.41000000000000003</v>
      </c>
      <c r="D11" s="1">
        <v>0.41000000000000003</v>
      </c>
      <c r="E11" s="1">
        <v>0.41000000000000003</v>
      </c>
      <c r="F11" s="1">
        <v>0.8600000000000001</v>
      </c>
    </row>
    <row r="13" spans="1:17">
      <c r="B13" s="3" t="s">
        <v>19</v>
      </c>
      <c r="C13" s="1">
        <v>7842</v>
      </c>
      <c r="D13" s="1">
        <v>9316</v>
      </c>
      <c r="E13" s="1">
        <v>9316</v>
      </c>
      <c r="F13" s="1">
        <v>10790</v>
      </c>
      <c r="H13" s="1">
        <v>37263</v>
      </c>
    </row>
    <row r="14" spans="1:17">
      <c r="B14" s="3" t="s">
        <v>22</v>
      </c>
      <c r="C14" s="1">
        <v>10586</v>
      </c>
      <c r="D14" s="1">
        <v>12576</v>
      </c>
      <c r="E14" s="1">
        <v>12576</v>
      </c>
      <c r="F14" s="1">
        <v>14566</v>
      </c>
      <c r="H14" s="1">
        <v>50305</v>
      </c>
    </row>
    <row r="15" spans="1:17">
      <c r="B15" s="3" t="s">
        <v>20</v>
      </c>
      <c r="C15" s="1">
        <v>11763</v>
      </c>
      <c r="D15" s="1">
        <v>13974</v>
      </c>
      <c r="E15" s="1">
        <v>13974</v>
      </c>
      <c r="F15" s="1">
        <v>16185</v>
      </c>
      <c r="H15" s="1">
        <v>55894</v>
      </c>
    </row>
    <row r="16" spans="1:17">
      <c r="B16" s="3" t="s">
        <v>23</v>
      </c>
      <c r="C16" s="1">
        <v>15879</v>
      </c>
      <c r="D16" s="1">
        <v>18864</v>
      </c>
      <c r="E16" s="1">
        <v>18864</v>
      </c>
      <c r="F16" s="1">
        <v>21849</v>
      </c>
      <c r="H16" s="1">
        <v>75457</v>
      </c>
    </row>
    <row r="17" spans="2:8">
      <c r="B17" s="3" t="s">
        <v>21</v>
      </c>
      <c r="C17" s="1">
        <v>11764</v>
      </c>
      <c r="D17" s="1">
        <v>13976</v>
      </c>
      <c r="E17" s="1">
        <v>13976</v>
      </c>
      <c r="F17" s="1">
        <v>19209</v>
      </c>
      <c r="H17" s="1">
        <v>58925</v>
      </c>
    </row>
  </sheetData>
  <protectedRanges>
    <protectedRange sqref="C2:J2" name="範圍1_1_1"/>
  </protectedRanges>
  <phoneticPr fontId="1" type="noConversion"/>
  <dataValidations count="1">
    <dataValidation type="list" allowBlank="1" showInputMessage="1" showErrorMessage="1" sqref="C2:G2">
      <formula1>護符</formula1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>
  <dimension ref="A1:Q15"/>
  <sheetViews>
    <sheetView workbookViewId="0">
      <selection activeCell="G2" sqref="G2"/>
    </sheetView>
  </sheetViews>
  <sheetFormatPr defaultRowHeight="15.5"/>
  <cols>
    <col min="1" max="1" width="17.1796875" style="1" customWidth="1"/>
    <col min="2" max="2" width="21.1796875" style="3" customWidth="1"/>
    <col min="3" max="3" width="14.1796875" style="1" customWidth="1"/>
    <col min="4" max="4" width="12.08984375" style="1" customWidth="1"/>
    <col min="5" max="5" width="13.453125" style="1" customWidth="1"/>
    <col min="6" max="7" width="12.26953125" style="1" customWidth="1"/>
    <col min="8" max="9" width="10.26953125" style="1" customWidth="1"/>
    <col min="10" max="10" width="11.54296875" style="1" customWidth="1"/>
    <col min="11" max="11" width="8.90625" style="1" customWidth="1"/>
    <col min="12" max="12" width="14.1796875" style="1" customWidth="1"/>
    <col min="13" max="13" width="14.90625" style="1" customWidth="1"/>
    <col min="14" max="14" width="10.6328125" style="1" customWidth="1"/>
    <col min="15" max="16" width="8.7265625" style="1"/>
    <col min="17" max="17" width="19.453125" style="1" customWidth="1"/>
    <col min="18" max="16384" width="8.7265625" style="1"/>
  </cols>
  <sheetData>
    <row r="1" spans="1:17" ht="46" customHeight="1">
      <c r="B1" s="1"/>
      <c r="C1" s="6" t="s">
        <v>36</v>
      </c>
      <c r="D1" s="6" t="s">
        <v>37</v>
      </c>
      <c r="E1" s="6" t="s">
        <v>38</v>
      </c>
      <c r="F1" s="6" t="s">
        <v>39</v>
      </c>
      <c r="G1" s="6" t="s">
        <v>40</v>
      </c>
      <c r="H1" s="6" t="s">
        <v>0</v>
      </c>
      <c r="I1" s="6" t="s">
        <v>2</v>
      </c>
      <c r="J1" s="6" t="s">
        <v>3</v>
      </c>
      <c r="K1" s="7" t="s">
        <v>65</v>
      </c>
      <c r="Q1" s="1" t="s">
        <v>1</v>
      </c>
    </row>
    <row r="2" spans="1:17" s="3" customFormat="1" ht="55" customHeight="1">
      <c r="A2" s="6" t="s">
        <v>78</v>
      </c>
      <c r="C2" s="8" t="s">
        <v>80</v>
      </c>
      <c r="D2" s="8" t="s">
        <v>80</v>
      </c>
      <c r="E2" s="8" t="s">
        <v>80</v>
      </c>
      <c r="F2" s="8" t="s">
        <v>80</v>
      </c>
      <c r="G2" s="8" t="s">
        <v>80</v>
      </c>
      <c r="H2" s="9">
        <v>5896</v>
      </c>
      <c r="I2" s="9">
        <v>0.36</v>
      </c>
      <c r="J2" s="9">
        <v>0.24</v>
      </c>
      <c r="K2" s="3" t="b">
        <v>0</v>
      </c>
      <c r="M2" s="4"/>
      <c r="Q2" s="3" t="s">
        <v>9</v>
      </c>
    </row>
    <row r="3" spans="1:17" ht="15.5" customHeight="1">
      <c r="C3" s="2"/>
      <c r="D3" s="2"/>
      <c r="E3" s="2"/>
      <c r="F3" s="2"/>
      <c r="Q3" s="3"/>
    </row>
    <row r="4" spans="1:17">
      <c r="B4" s="3" t="s">
        <v>41</v>
      </c>
      <c r="C4" s="1">
        <v>0</v>
      </c>
      <c r="D4" s="1" t="s">
        <v>10</v>
      </c>
      <c r="E4" s="1">
        <v>0</v>
      </c>
    </row>
    <row r="5" spans="1:17">
      <c r="B5" s="3" t="s">
        <v>43</v>
      </c>
      <c r="C5" s="1">
        <v>0</v>
      </c>
      <c r="D5" s="1" t="s">
        <v>11</v>
      </c>
      <c r="E5" s="1">
        <v>0</v>
      </c>
    </row>
    <row r="6" spans="1:17">
      <c r="B6" s="3" t="s">
        <v>42</v>
      </c>
      <c r="C6" s="1">
        <v>0</v>
      </c>
      <c r="D6" s="1" t="s">
        <v>66</v>
      </c>
      <c r="E6" s="1">
        <v>0</v>
      </c>
    </row>
    <row r="7" spans="1:17">
      <c r="B7" s="3" t="s">
        <v>44</v>
      </c>
      <c r="C7" s="1">
        <v>0</v>
      </c>
      <c r="D7" s="1" t="s">
        <v>77</v>
      </c>
      <c r="E7" s="1">
        <v>0</v>
      </c>
    </row>
    <row r="9" spans="1:17">
      <c r="C9" s="1" t="s">
        <v>14</v>
      </c>
      <c r="D9" s="1" t="s">
        <v>15</v>
      </c>
      <c r="E9" s="1" t="s">
        <v>16</v>
      </c>
      <c r="F9" s="1" t="s">
        <v>17</v>
      </c>
      <c r="H9" s="1" t="s">
        <v>18</v>
      </c>
    </row>
    <row r="10" spans="1:17">
      <c r="B10" s="3" t="s">
        <v>12</v>
      </c>
      <c r="C10" s="1">
        <v>1.5</v>
      </c>
      <c r="D10" s="1">
        <v>1.5</v>
      </c>
      <c r="E10" s="1">
        <v>1.5</v>
      </c>
      <c r="F10" s="1">
        <v>1.5</v>
      </c>
    </row>
    <row r="11" spans="1:17">
      <c r="B11" s="3" t="s">
        <v>13</v>
      </c>
      <c r="C11" s="1">
        <v>0.41000000000000003</v>
      </c>
      <c r="D11" s="1">
        <v>0.41000000000000003</v>
      </c>
      <c r="E11" s="1">
        <v>0.41000000000000003</v>
      </c>
      <c r="F11" s="1">
        <v>0.41000000000000003</v>
      </c>
    </row>
    <row r="13" spans="1:17">
      <c r="B13" s="3" t="s">
        <v>19</v>
      </c>
      <c r="C13" s="1">
        <v>8019</v>
      </c>
      <c r="D13" s="1">
        <v>9493</v>
      </c>
      <c r="E13" s="1">
        <v>9493</v>
      </c>
      <c r="F13" s="1">
        <v>10967</v>
      </c>
      <c r="H13" s="1">
        <v>37970</v>
      </c>
    </row>
    <row r="14" spans="1:17">
      <c r="B14" s="3" t="s">
        <v>20</v>
      </c>
      <c r="C14" s="1">
        <v>12028</v>
      </c>
      <c r="D14" s="1">
        <v>14239</v>
      </c>
      <c r="E14" s="1">
        <v>14239</v>
      </c>
      <c r="F14" s="1">
        <v>16450</v>
      </c>
      <c r="H14" s="1">
        <v>56955</v>
      </c>
    </row>
    <row r="15" spans="1:17">
      <c r="B15" s="3" t="s">
        <v>21</v>
      </c>
      <c r="C15" s="1">
        <v>9662</v>
      </c>
      <c r="D15" s="1">
        <v>11439</v>
      </c>
      <c r="E15" s="1">
        <v>11439</v>
      </c>
      <c r="F15" s="1">
        <v>13215</v>
      </c>
      <c r="H15" s="1">
        <v>45754</v>
      </c>
    </row>
  </sheetData>
  <protectedRanges>
    <protectedRange sqref="C2:J2" name="範圍1_1_1"/>
  </protectedRanges>
  <phoneticPr fontId="1" type="noConversion"/>
  <dataValidations count="1">
    <dataValidation type="list" allowBlank="1" showInputMessage="1" showErrorMessage="1" sqref="C2:G2">
      <formula1>護符</formula1>
    </dataValidation>
  </dataValidations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6"/>
  <dimension ref="A1:A50"/>
  <sheetViews>
    <sheetView workbookViewId="0">
      <selection activeCell="H21" sqref="H21"/>
    </sheetView>
  </sheetViews>
  <sheetFormatPr defaultRowHeight="17"/>
  <cols>
    <col min="1" max="1" width="27.81640625" customWidth="1"/>
  </cols>
  <sheetData>
    <row r="1" spans="1:1">
      <c r="A1" t="s">
        <v>24</v>
      </c>
    </row>
    <row r="2" spans="1:1">
      <c r="A2" t="s">
        <v>25</v>
      </c>
    </row>
    <row r="3" spans="1:1">
      <c r="A3" s="5"/>
    </row>
    <row r="4" spans="1:1">
      <c r="A4" s="5" t="s">
        <v>45</v>
      </c>
    </row>
    <row r="5" spans="1:1">
      <c r="A5" s="5" t="s">
        <v>46</v>
      </c>
    </row>
    <row r="6" spans="1:1">
      <c r="A6" s="5" t="s">
        <v>47</v>
      </c>
    </row>
    <row r="7" spans="1:1">
      <c r="A7" s="5" t="s">
        <v>48</v>
      </c>
    </row>
    <row r="8" spans="1:1">
      <c r="A8" s="5" t="s">
        <v>49</v>
      </c>
    </row>
    <row r="10" spans="1:1">
      <c r="A10" t="s">
        <v>50</v>
      </c>
    </row>
    <row r="11" spans="1:1">
      <c r="A11" t="s">
        <v>51</v>
      </c>
    </row>
    <row r="12" spans="1:1">
      <c r="A12" t="s">
        <v>52</v>
      </c>
    </row>
    <row r="13" spans="1:1">
      <c r="A13" t="s">
        <v>53</v>
      </c>
    </row>
    <row r="14" spans="1:1">
      <c r="A14" t="s">
        <v>54</v>
      </c>
    </row>
    <row r="16" spans="1:1">
      <c r="A16" t="s">
        <v>63</v>
      </c>
    </row>
    <row r="17" spans="1:1">
      <c r="A17" t="s">
        <v>55</v>
      </c>
    </row>
    <row r="18" spans="1:1">
      <c r="A18" t="s">
        <v>64</v>
      </c>
    </row>
    <row r="19" spans="1:1">
      <c r="A19" t="s">
        <v>56</v>
      </c>
    </row>
    <row r="20" spans="1:1">
      <c r="A20" t="s">
        <v>57</v>
      </c>
    </row>
    <row r="22" spans="1:1">
      <c r="A22" t="s">
        <v>58</v>
      </c>
    </row>
    <row r="23" spans="1:1">
      <c r="A23" t="s">
        <v>59</v>
      </c>
    </row>
    <row r="24" spans="1:1">
      <c r="A24" t="s">
        <v>60</v>
      </c>
    </row>
    <row r="25" spans="1:1">
      <c r="A25" t="s">
        <v>61</v>
      </c>
    </row>
    <row r="26" spans="1:1">
      <c r="A26" t="s">
        <v>62</v>
      </c>
    </row>
    <row r="28" spans="1:1">
      <c r="A28" t="s">
        <v>26</v>
      </c>
    </row>
    <row r="29" spans="1:1">
      <c r="A29" t="s">
        <v>27</v>
      </c>
    </row>
    <row r="30" spans="1:1">
      <c r="A30" t="s">
        <v>28</v>
      </c>
    </row>
    <row r="31" spans="1:1">
      <c r="A31" t="s">
        <v>29</v>
      </c>
    </row>
    <row r="32" spans="1:1">
      <c r="A32" t="s">
        <v>30</v>
      </c>
    </row>
    <row r="34" spans="1:1">
      <c r="A34" t="s">
        <v>31</v>
      </c>
    </row>
    <row r="35" spans="1:1">
      <c r="A35" t="s">
        <v>32</v>
      </c>
    </row>
    <row r="36" spans="1:1">
      <c r="A36" t="s">
        <v>33</v>
      </c>
    </row>
    <row r="37" spans="1:1">
      <c r="A37" t="s">
        <v>34</v>
      </c>
    </row>
    <row r="38" spans="1:1">
      <c r="A38" t="s">
        <v>35</v>
      </c>
    </row>
    <row r="40" spans="1:1">
      <c r="A40" t="s">
        <v>67</v>
      </c>
    </row>
    <row r="41" spans="1:1">
      <c r="A41" t="s">
        <v>68</v>
      </c>
    </row>
    <row r="42" spans="1:1">
      <c r="A42" t="s">
        <v>69</v>
      </c>
    </row>
    <row r="43" spans="1:1">
      <c r="A43" t="s">
        <v>70</v>
      </c>
    </row>
    <row r="44" spans="1:1">
      <c r="A44" t="s">
        <v>71</v>
      </c>
    </row>
    <row r="46" spans="1:1">
      <c r="A46" t="s">
        <v>72</v>
      </c>
    </row>
    <row r="47" spans="1:1">
      <c r="A47" t="s">
        <v>73</v>
      </c>
    </row>
    <row r="48" spans="1:1">
      <c r="A48" t="s">
        <v>74</v>
      </c>
    </row>
    <row r="49" spans="1:1">
      <c r="A49" t="s">
        <v>75</v>
      </c>
    </row>
    <row r="50" spans="1:1">
      <c r="A50" t="s">
        <v>76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3"/>
  <dimension ref="A6:P18"/>
  <sheetViews>
    <sheetView workbookViewId="0">
      <selection activeCell="K7" sqref="K7"/>
    </sheetView>
  </sheetViews>
  <sheetFormatPr defaultRowHeight="15.5"/>
  <cols>
    <col min="1" max="1" width="15.6328125" style="1" customWidth="1"/>
    <col min="2" max="14" width="8.7265625" style="1"/>
    <col min="15" max="15" width="10.81640625" style="1" customWidth="1"/>
    <col min="16" max="16" width="13.54296875" style="1" customWidth="1"/>
    <col min="17" max="16384" width="8.7265625" style="1"/>
  </cols>
  <sheetData>
    <row r="6" spans="1:16">
      <c r="O6" s="1" t="s">
        <v>4</v>
      </c>
      <c r="P6" s="2">
        <v>0.24</v>
      </c>
    </row>
    <row r="7" spans="1:16"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 t="s">
        <v>5</v>
      </c>
      <c r="P7" s="1" t="s">
        <v>6</v>
      </c>
    </row>
    <row r="8" spans="1:16">
      <c r="A8" s="1" t="s">
        <v>7</v>
      </c>
      <c r="B8" s="2">
        <v>2</v>
      </c>
      <c r="C8" s="2">
        <v>4</v>
      </c>
      <c r="D8" s="2">
        <v>4</v>
      </c>
      <c r="E8" s="2">
        <v>4</v>
      </c>
      <c r="F8" s="2">
        <v>4</v>
      </c>
      <c r="G8" s="2">
        <v>4</v>
      </c>
      <c r="H8" s="2">
        <v>4</v>
      </c>
      <c r="I8" s="2">
        <v>4</v>
      </c>
      <c r="J8" s="2">
        <v>4</v>
      </c>
      <c r="K8" s="2"/>
      <c r="L8" s="2"/>
      <c r="M8" s="2"/>
      <c r="N8" s="2">
        <f>SUM(B8:J8)</f>
        <v>34</v>
      </c>
      <c r="O8" s="2"/>
      <c r="P8" s="2"/>
    </row>
    <row r="9" spans="1:16">
      <c r="A9" s="1" t="s">
        <v>8</v>
      </c>
      <c r="B9" s="2">
        <v>1</v>
      </c>
      <c r="C9" s="2">
        <v>1</v>
      </c>
      <c r="D9" s="2">
        <v>0</v>
      </c>
      <c r="E9" s="2">
        <v>3</v>
      </c>
      <c r="F9" s="2">
        <v>1</v>
      </c>
      <c r="G9" s="2">
        <v>3</v>
      </c>
      <c r="H9" s="2">
        <v>0</v>
      </c>
      <c r="I9" s="2">
        <v>3</v>
      </c>
      <c r="J9" s="2">
        <v>2</v>
      </c>
      <c r="K9" s="2"/>
      <c r="L9" s="2"/>
      <c r="M9" s="2"/>
      <c r="N9" s="2">
        <f>SUM(B9:J9)</f>
        <v>14</v>
      </c>
      <c r="O9" s="2">
        <f>N9/N$8</f>
        <v>0.41176470588235292</v>
      </c>
      <c r="P9" s="2">
        <f>O9-P$6</f>
        <v>0.17176470588235293</v>
      </c>
    </row>
    <row r="10" spans="1:16">
      <c r="A10" s="1" t="s">
        <v>8</v>
      </c>
      <c r="B10" s="2">
        <v>1</v>
      </c>
      <c r="C10" s="2">
        <v>1</v>
      </c>
      <c r="D10" s="2">
        <v>0</v>
      </c>
      <c r="E10" s="2">
        <v>3</v>
      </c>
      <c r="F10" s="2">
        <v>1</v>
      </c>
      <c r="G10" s="2">
        <v>3</v>
      </c>
      <c r="H10" s="2">
        <v>0</v>
      </c>
      <c r="I10" s="2">
        <v>3</v>
      </c>
      <c r="J10" s="2">
        <v>2</v>
      </c>
      <c r="K10" s="2"/>
      <c r="L10" s="2"/>
      <c r="M10" s="2"/>
      <c r="N10" s="2">
        <f>SUM(B10:J10)</f>
        <v>14</v>
      </c>
      <c r="O10" s="2">
        <f t="shared" ref="O10:O11" si="0">N10/N$8</f>
        <v>0.41176470588235292</v>
      </c>
      <c r="P10" s="2">
        <f>O10-P$6</f>
        <v>0.17176470588235293</v>
      </c>
    </row>
    <row r="11" spans="1:16">
      <c r="A11" s="1" t="s">
        <v>8</v>
      </c>
      <c r="B11" s="2">
        <v>1</v>
      </c>
      <c r="C11" s="2">
        <v>1</v>
      </c>
      <c r="D11" s="2">
        <v>0</v>
      </c>
      <c r="E11" s="2">
        <v>3</v>
      </c>
      <c r="F11" s="2">
        <v>1</v>
      </c>
      <c r="G11" s="2">
        <v>3</v>
      </c>
      <c r="H11" s="2">
        <v>0</v>
      </c>
      <c r="I11" s="2">
        <v>3</v>
      </c>
      <c r="J11" s="2">
        <v>2</v>
      </c>
      <c r="K11" s="2"/>
      <c r="L11" s="2"/>
      <c r="M11" s="2"/>
      <c r="N11" s="2">
        <f>SUM(B11:J11)</f>
        <v>14</v>
      </c>
      <c r="O11" s="2">
        <f t="shared" si="0"/>
        <v>0.41176470588235292</v>
      </c>
      <c r="P11" s="2">
        <f>O11-P$6</f>
        <v>0.17176470588235293</v>
      </c>
    </row>
    <row r="12" spans="1:16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</row>
    <row r="14" spans="1:16">
      <c r="O14" s="2" t="s">
        <v>4</v>
      </c>
      <c r="P14" s="2">
        <v>0.06</v>
      </c>
    </row>
    <row r="15" spans="1:16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 t="s">
        <v>5</v>
      </c>
      <c r="P15" s="1" t="s">
        <v>6</v>
      </c>
    </row>
    <row r="16" spans="1:16">
      <c r="A16" s="1" t="s">
        <v>7</v>
      </c>
      <c r="B16" s="2">
        <v>2</v>
      </c>
      <c r="C16" s="2">
        <v>4</v>
      </c>
      <c r="D16" s="2">
        <v>4</v>
      </c>
      <c r="E16" s="2">
        <v>4</v>
      </c>
      <c r="F16" s="2">
        <v>4</v>
      </c>
      <c r="G16" s="2">
        <v>4</v>
      </c>
      <c r="H16" s="2">
        <v>4</v>
      </c>
      <c r="I16" s="2">
        <v>4</v>
      </c>
      <c r="J16" s="2"/>
      <c r="K16" s="2"/>
      <c r="L16" s="2"/>
      <c r="M16" s="2"/>
      <c r="N16" s="2">
        <f>SUM(B16:J16)</f>
        <v>30</v>
      </c>
      <c r="O16" s="2"/>
      <c r="P16" s="2"/>
    </row>
    <row r="17" spans="1:16">
      <c r="A17" s="1" t="s">
        <v>8</v>
      </c>
      <c r="B17" s="2">
        <v>1</v>
      </c>
      <c r="C17" s="2">
        <v>0</v>
      </c>
      <c r="D17" s="2">
        <v>1</v>
      </c>
      <c r="E17" s="2">
        <v>1</v>
      </c>
      <c r="F17" s="2">
        <v>0</v>
      </c>
      <c r="G17" s="2">
        <v>2</v>
      </c>
      <c r="H17" s="2">
        <v>1</v>
      </c>
      <c r="I17" s="2">
        <v>1</v>
      </c>
      <c r="J17" s="2"/>
      <c r="K17" s="2"/>
      <c r="L17" s="2"/>
      <c r="M17" s="2"/>
      <c r="N17" s="2">
        <f>SUM(B17:J17)</f>
        <v>7</v>
      </c>
      <c r="O17" s="2">
        <f>N17/N$16</f>
        <v>0.23333333333333334</v>
      </c>
      <c r="P17" s="2">
        <f>O17-P$14</f>
        <v>0.17333333333333334</v>
      </c>
    </row>
    <row r="18" spans="1:16">
      <c r="A18" s="1" t="s">
        <v>8</v>
      </c>
      <c r="B18" s="2">
        <v>1</v>
      </c>
      <c r="C18" s="2">
        <v>0</v>
      </c>
      <c r="D18" s="2">
        <v>1</v>
      </c>
      <c r="E18" s="2">
        <v>1</v>
      </c>
      <c r="F18" s="2">
        <v>0</v>
      </c>
      <c r="G18" s="2">
        <v>2</v>
      </c>
      <c r="H18" s="2">
        <v>1</v>
      </c>
      <c r="I18" s="2">
        <v>1</v>
      </c>
      <c r="J18" s="2"/>
      <c r="K18" s="2"/>
      <c r="L18" s="2"/>
      <c r="M18" s="2"/>
      <c r="N18" s="2">
        <f>SUM(B18:J18)</f>
        <v>7</v>
      </c>
      <c r="O18" s="2">
        <f>N18/N$16</f>
        <v>0.23333333333333334</v>
      </c>
      <c r="P18" s="2">
        <f>O18-P$14</f>
        <v>0.17333333333333334</v>
      </c>
    </row>
  </sheetData>
  <sheetProtection sheet="1" objects="1" scenarios="1" selectLockedCells="1"/>
  <phoneticPr fontId="1" type="noConversion"/>
  <pageMargins left="0.7" right="0.7" top="0.75" bottom="0.75" header="0.3" footer="0.3"/>
  <pageSetup paperSize="9" orientation="portrait" horizontalDpi="200" verticalDpi="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1</vt:i4>
      </vt:variant>
    </vt:vector>
  </HeadingPairs>
  <TitlesOfParts>
    <vt:vector size="6" baseType="lpstr">
      <vt:lpstr>錘</vt:lpstr>
      <vt:lpstr>劍</vt:lpstr>
      <vt:lpstr>釜</vt:lpstr>
      <vt:lpstr>清單</vt:lpstr>
      <vt:lpstr>統計</vt:lpstr>
      <vt:lpstr>護符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2006-09-13T11:24:16Z</dcterms:created>
  <dcterms:modified xsi:type="dcterms:W3CDTF">2023-02-23T08:44:58Z</dcterms:modified>
</cp:coreProperties>
</file>