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filterPrivacy="1" codeName="ThisWorkbook" defaultThemeVersion="124226"/>
  <bookViews>
    <workbookView xWindow="0" yWindow="20" windowWidth="19200" windowHeight="11020"/>
  </bookViews>
  <sheets>
    <sheet name="Hammer" sheetId="12" r:id="rId1"/>
    <sheet name="Sword" sheetId="21" r:id="rId2"/>
    <sheet name="Axe" sheetId="22" r:id="rId3"/>
    <sheet name="Language" sheetId="15" r:id="rId4"/>
    <sheet name="清單" sheetId="6" state="hidden" r:id="rId5"/>
    <sheet name="統計" sheetId="2" state="hidden" r:id="rId6"/>
  </sheets>
  <definedNames>
    <definedName name="護符">清單!$A$2:$A$1048576</definedName>
  </definedNames>
  <calcPr calcId="124519"/>
</workbook>
</file>

<file path=xl/calcChain.xml><?xml version="1.0" encoding="utf-8"?>
<calcChain xmlns="http://schemas.openxmlformats.org/spreadsheetml/2006/main">
  <c r="O18" i="2"/>
  <c r="O17"/>
  <c r="N18" l="1"/>
  <c r="N17"/>
  <c r="N16"/>
  <c r="N11"/>
  <c r="N10"/>
  <c r="N8"/>
  <c r="N9"/>
  <c r="P11" l="1"/>
  <c r="O11"/>
  <c r="P10"/>
  <c r="O10"/>
  <c r="O9"/>
  <c r="P9" s="1"/>
  <c r="P18"/>
  <c r="P17"/>
</calcChain>
</file>

<file path=xl/sharedStrings.xml><?xml version="1.0" encoding="utf-8"?>
<sst xmlns="http://schemas.openxmlformats.org/spreadsheetml/2006/main" count="560" uniqueCount="435">
  <si>
    <t>武器基本傷害</t>
    <phoneticPr fontId="1" type="noConversion"/>
  </si>
  <si>
    <t>拳套傷害加成</t>
    <phoneticPr fontId="1" type="noConversion"/>
  </si>
  <si>
    <t>拳套暴擊加成</t>
    <phoneticPr fontId="1" type="noConversion"/>
  </si>
  <si>
    <t>暴擊加成</t>
    <phoneticPr fontId="1" type="noConversion"/>
  </si>
  <si>
    <t>暴擊率</t>
    <phoneticPr fontId="1" type="noConversion"/>
  </si>
  <si>
    <t>基本暴擊率</t>
    <phoneticPr fontId="1" type="noConversion"/>
  </si>
  <si>
    <t>攻擊次數</t>
    <phoneticPr fontId="1" type="noConversion"/>
  </si>
  <si>
    <t>暴擊次數</t>
    <phoneticPr fontId="1" type="noConversion"/>
  </si>
  <si>
    <t>憤怒機率</t>
  </si>
  <si>
    <t>集中機率</t>
  </si>
  <si>
    <t>爆擊機率</t>
  </si>
  <si>
    <t>總和</t>
  </si>
  <si>
    <t>護符1</t>
    <phoneticPr fontId="1" type="noConversion"/>
  </si>
  <si>
    <t>護符2</t>
    <phoneticPr fontId="1" type="noConversion"/>
  </si>
  <si>
    <t>護符3</t>
    <phoneticPr fontId="1" type="noConversion"/>
  </si>
  <si>
    <t>護符4</t>
    <phoneticPr fontId="1" type="noConversion"/>
  </si>
  <si>
    <t>護符5</t>
    <phoneticPr fontId="1" type="noConversion"/>
  </si>
  <si>
    <t>連擊爆擊傷害加成</t>
  </si>
  <si>
    <t>終擊爆擊傷害加成</t>
  </si>
  <si>
    <t>連擊爆擊機率加成</t>
  </si>
  <si>
    <t>終擊爆擊機率加成</t>
  </si>
  <si>
    <t>著火</t>
    <phoneticPr fontId="1" type="noConversion"/>
  </si>
  <si>
    <t>+40% 憤怒機率</t>
  </si>
  <si>
    <t>+30% 憤怒機率</t>
  </si>
  <si>
    <t>中文</t>
  </si>
  <si>
    <t>護符</t>
  </si>
  <si>
    <t>語言</t>
  </si>
  <si>
    <t>English</t>
  </si>
  <si>
    <t>傷害-爆擊</t>
  </si>
  <si>
    <t>傷害-期望值</t>
  </si>
  <si>
    <t>中文</t>
    <phoneticPr fontId="1" type="noConversion"/>
  </si>
  <si>
    <t>English</t>
    <phoneticPr fontId="1" type="noConversion"/>
  </si>
  <si>
    <t>+10% 憤怒機率</t>
    <phoneticPr fontId="1" type="noConversion"/>
  </si>
  <si>
    <t>+20% 憤怒機率</t>
    <phoneticPr fontId="1" type="noConversion"/>
  </si>
  <si>
    <t>+30% 憤怒機率</t>
    <phoneticPr fontId="1" type="noConversion"/>
  </si>
  <si>
    <t>+40% 憤怒機率</t>
    <phoneticPr fontId="1" type="noConversion"/>
  </si>
  <si>
    <t>+50% 憤怒機率</t>
    <phoneticPr fontId="1" type="noConversion"/>
  </si>
  <si>
    <t>+10% 集中機率</t>
    <phoneticPr fontId="1" type="noConversion"/>
  </si>
  <si>
    <t>+20% 集中機率</t>
    <phoneticPr fontId="1" type="noConversion"/>
  </si>
  <si>
    <t>+30% 集中機率</t>
    <phoneticPr fontId="1" type="noConversion"/>
  </si>
  <si>
    <t>+40% 集中機率</t>
    <phoneticPr fontId="1" type="noConversion"/>
  </si>
  <si>
    <t>+50% 集中機率</t>
    <phoneticPr fontId="1" type="noConversion"/>
  </si>
  <si>
    <t>連擊爆擊傷害加成</t>
    <phoneticPr fontId="1" type="noConversion"/>
  </si>
  <si>
    <t>酸蝕</t>
    <phoneticPr fontId="1" type="noConversion"/>
  </si>
  <si>
    <t>中毒</t>
    <phoneticPr fontId="1" type="noConversion"/>
  </si>
  <si>
    <t>狀態</t>
  </si>
  <si>
    <t>是</t>
    <phoneticPr fontId="1" type="noConversion"/>
  </si>
  <si>
    <t>否</t>
    <phoneticPr fontId="1" type="noConversion"/>
  </si>
  <si>
    <t>Yes</t>
    <phoneticPr fontId="1" type="noConversion"/>
  </si>
  <si>
    <t>No</t>
    <phoneticPr fontId="1" type="noConversion"/>
  </si>
  <si>
    <t>版本</t>
  </si>
  <si>
    <t>Version</t>
    <phoneticPr fontId="1" type="noConversion"/>
  </si>
  <si>
    <t>+50% 憤怒機率</t>
  </si>
  <si>
    <t>Burn</t>
    <phoneticPr fontId="1" type="noConversion"/>
  </si>
  <si>
    <t>Acid</t>
    <phoneticPr fontId="1" type="noConversion"/>
  </si>
  <si>
    <t>Poison</t>
    <phoneticPr fontId="1" type="noConversion"/>
  </si>
  <si>
    <t>識別碼</t>
    <phoneticPr fontId="1" type="noConversion"/>
  </si>
  <si>
    <t>- - - - - - - -</t>
  </si>
  <si>
    <t>Weapon Damage</t>
    <phoneticPr fontId="1" type="noConversion"/>
  </si>
  <si>
    <t>Gauntlet Critical Bonus</t>
    <phoneticPr fontId="1" type="noConversion"/>
  </si>
  <si>
    <t>Gauntlet Damage Bonus</t>
    <phoneticPr fontId="1" type="noConversion"/>
  </si>
  <si>
    <t>Fury Chance</t>
    <phoneticPr fontId="1" type="noConversion"/>
  </si>
  <si>
    <t>Focus Chance</t>
    <phoneticPr fontId="1" type="noConversion"/>
  </si>
  <si>
    <t>Sum</t>
    <phoneticPr fontId="1" type="noConversion"/>
  </si>
  <si>
    <t>Critical Chance</t>
    <phoneticPr fontId="1" type="noConversion"/>
  </si>
  <si>
    <t>爆擊機率(集中)</t>
    <phoneticPr fontId="1" type="noConversion"/>
  </si>
  <si>
    <t>Critical Chance(Focus)</t>
    <phoneticPr fontId="1" type="noConversion"/>
  </si>
  <si>
    <t>Damage-Critical</t>
    <phoneticPr fontId="1" type="noConversion"/>
  </si>
  <si>
    <t>Damage-Expected</t>
    <phoneticPr fontId="1" type="noConversion"/>
  </si>
  <si>
    <t>Critical Damage Bonus</t>
    <phoneticPr fontId="1" type="noConversion"/>
  </si>
  <si>
    <t>Chain Start</t>
    <phoneticPr fontId="1" type="noConversion"/>
  </si>
  <si>
    <t>x1 Chain</t>
    <phoneticPr fontId="1" type="noConversion"/>
  </si>
  <si>
    <t>x2 Chain</t>
    <phoneticPr fontId="1" type="noConversion"/>
  </si>
  <si>
    <t>Ultimate Chain</t>
    <phoneticPr fontId="1" type="noConversion"/>
  </si>
  <si>
    <t>連擊開始</t>
  </si>
  <si>
    <t>連擊開始</t>
    <phoneticPr fontId="1" type="noConversion"/>
  </si>
  <si>
    <t>x1 連擊</t>
  </si>
  <si>
    <t>x1 連擊</t>
    <phoneticPr fontId="1" type="noConversion"/>
  </si>
  <si>
    <t>x2 連擊</t>
  </si>
  <si>
    <t>x2 連擊</t>
    <phoneticPr fontId="1" type="noConversion"/>
  </si>
  <si>
    <t>終極連擊</t>
  </si>
  <si>
    <t>終極連擊</t>
    <phoneticPr fontId="1" type="noConversion"/>
  </si>
  <si>
    <t>+20% chain critical damage</t>
    <phoneticPr fontId="1" type="noConversion"/>
  </si>
  <si>
    <t>+40% chain critical damage</t>
    <phoneticPr fontId="1" type="noConversion"/>
  </si>
  <si>
    <t>+60% chain critical damage</t>
    <phoneticPr fontId="1" type="noConversion"/>
  </si>
  <si>
    <t>+80% chain critical damage</t>
    <phoneticPr fontId="1" type="noConversion"/>
  </si>
  <si>
    <t>+100% chain critical damage</t>
    <phoneticPr fontId="1" type="noConversion"/>
  </si>
  <si>
    <t>+20% chain critical chance</t>
    <phoneticPr fontId="1" type="noConversion"/>
  </si>
  <si>
    <t>+30% chain critical chance</t>
    <phoneticPr fontId="1" type="noConversion"/>
  </si>
  <si>
    <t>+40% chain critical chance</t>
    <phoneticPr fontId="1" type="noConversion"/>
  </si>
  <si>
    <t>+50% chain critical chance</t>
    <phoneticPr fontId="1" type="noConversion"/>
  </si>
  <si>
    <t>+60% ultimate critical damage</t>
    <phoneticPr fontId="1" type="noConversion"/>
  </si>
  <si>
    <t>+20% ultimate critical chance</t>
    <phoneticPr fontId="1" type="noConversion"/>
  </si>
  <si>
    <t>+40% ultimate critical chance</t>
    <phoneticPr fontId="1" type="noConversion"/>
  </si>
  <si>
    <t>+60% ultimate critical chance</t>
    <phoneticPr fontId="1" type="noConversion"/>
  </si>
  <si>
    <t>+80% ultimate critical chance</t>
    <phoneticPr fontId="1" type="noConversion"/>
  </si>
  <si>
    <t>+100% ultimate critical chance</t>
    <phoneticPr fontId="1" type="noConversion"/>
  </si>
  <si>
    <t>+10% chain start fury chance</t>
    <phoneticPr fontId="1" type="noConversion"/>
  </si>
  <si>
    <t>+20% chain start fury chance</t>
    <phoneticPr fontId="1" type="noConversion"/>
  </si>
  <si>
    <t>+30% chain start fury chance</t>
    <phoneticPr fontId="1" type="noConversion"/>
  </si>
  <si>
    <t>+40% chain start fury chance</t>
    <phoneticPr fontId="1" type="noConversion"/>
  </si>
  <si>
    <t>+50% chain start fury chance</t>
    <phoneticPr fontId="1" type="noConversion"/>
  </si>
  <si>
    <t>+10% chain start focus chance</t>
    <phoneticPr fontId="1" type="noConversion"/>
  </si>
  <si>
    <t>+20% chain start focus chance</t>
    <phoneticPr fontId="1" type="noConversion"/>
  </si>
  <si>
    <t>+30% chain start focus chance</t>
    <phoneticPr fontId="1" type="noConversion"/>
  </si>
  <si>
    <t>+40% chain start focus chance</t>
    <phoneticPr fontId="1" type="noConversion"/>
  </si>
  <si>
    <t>+50% chain start focus chance</t>
    <phoneticPr fontId="1" type="noConversion"/>
  </si>
  <si>
    <t>+10% damage with burn</t>
    <phoneticPr fontId="1" type="noConversion"/>
  </si>
  <si>
    <t>+20% damage with burn</t>
    <phoneticPr fontId="1" type="noConversion"/>
  </si>
  <si>
    <t>+30% damage with burn</t>
    <phoneticPr fontId="1" type="noConversion"/>
  </si>
  <si>
    <t>+40% damage with burn</t>
    <phoneticPr fontId="1" type="noConversion"/>
  </si>
  <si>
    <t>+50% damage with burn</t>
    <phoneticPr fontId="1" type="noConversion"/>
  </si>
  <si>
    <t>+30% ultimate damage with burn</t>
    <phoneticPr fontId="1" type="noConversion"/>
  </si>
  <si>
    <t>+60% ultimate damage with burn</t>
    <phoneticPr fontId="1" type="noConversion"/>
  </si>
  <si>
    <t>+90% ultimate damage with burn</t>
    <phoneticPr fontId="1" type="noConversion"/>
  </si>
  <si>
    <t>+120% ultimate damage with burn</t>
    <phoneticPr fontId="1" type="noConversion"/>
  </si>
  <si>
    <t>+150% ultimate damage with burn</t>
    <phoneticPr fontId="1" type="noConversion"/>
  </si>
  <si>
    <t>+10% damage with acid</t>
    <phoneticPr fontId="1" type="noConversion"/>
  </si>
  <si>
    <t>+20% damage with acid</t>
    <phoneticPr fontId="1" type="noConversion"/>
  </si>
  <si>
    <t>+30% damage with acid</t>
    <phoneticPr fontId="1" type="noConversion"/>
  </si>
  <si>
    <t>+40% damage with acid</t>
    <phoneticPr fontId="1" type="noConversion"/>
  </si>
  <si>
    <t>+30% ultimate damage with acid</t>
    <phoneticPr fontId="1" type="noConversion"/>
  </si>
  <si>
    <t>+60% ultimate damage with acid</t>
    <phoneticPr fontId="1" type="noConversion"/>
  </si>
  <si>
    <t>+90% ultimate damage with acid</t>
    <phoneticPr fontId="1" type="noConversion"/>
  </si>
  <si>
    <t>+120% ultimate damage with acid</t>
    <phoneticPr fontId="1" type="noConversion"/>
  </si>
  <si>
    <t>+150% ultimate damage with acid</t>
    <phoneticPr fontId="1" type="noConversion"/>
  </si>
  <si>
    <t>+10% damage with poison</t>
    <phoneticPr fontId="1" type="noConversion"/>
  </si>
  <si>
    <t>+20% damage with poison</t>
    <phoneticPr fontId="1" type="noConversion"/>
  </si>
  <si>
    <t>+30% damage with poison</t>
    <phoneticPr fontId="1" type="noConversion"/>
  </si>
  <si>
    <t>+40% damage with poison</t>
    <phoneticPr fontId="1" type="noConversion"/>
  </si>
  <si>
    <t>+50% damage with poison</t>
    <phoneticPr fontId="1" type="noConversion"/>
  </si>
  <si>
    <t>+30% ultimate damage with poison</t>
    <phoneticPr fontId="1" type="noConversion"/>
  </si>
  <si>
    <t>+60% ultimate damage with poison</t>
    <phoneticPr fontId="1" type="noConversion"/>
  </si>
  <si>
    <t>+90% ultimate damage with poison</t>
    <phoneticPr fontId="1" type="noConversion"/>
  </si>
  <si>
    <t>+120% ultimate damage with poison</t>
    <phoneticPr fontId="1" type="noConversion"/>
  </si>
  <si>
    <t>+150% ultimate damage with poison</t>
    <phoneticPr fontId="1" type="noConversion"/>
  </si>
  <si>
    <t>Chain Critical Chance Bonus</t>
    <phoneticPr fontId="1" type="noConversion"/>
  </si>
  <si>
    <t>Ultimate Critical Chance Bonus</t>
    <phoneticPr fontId="1" type="noConversion"/>
  </si>
  <si>
    <t>Chain Critical Damage Bonus</t>
    <phoneticPr fontId="1" type="noConversion"/>
  </si>
  <si>
    <t>Ultimate Critical Damage Bonus</t>
    <phoneticPr fontId="1" type="noConversion"/>
  </si>
  <si>
    <t>Damage Bonus with Burn</t>
    <phoneticPr fontId="1" type="noConversion"/>
  </si>
  <si>
    <t>Ultimate Damage Bonus with Burn</t>
    <phoneticPr fontId="1" type="noConversion"/>
  </si>
  <si>
    <t>Damage Bonus with Acid</t>
    <phoneticPr fontId="1" type="noConversion"/>
  </si>
  <si>
    <t>Ultimate Damage Bonus with Acid</t>
    <phoneticPr fontId="1" type="noConversion"/>
  </si>
  <si>
    <t>Damage Bonus with Poison</t>
    <phoneticPr fontId="1" type="noConversion"/>
  </si>
  <si>
    <t>Ultimate Damage Bonus with Poison</t>
    <phoneticPr fontId="1" type="noConversion"/>
  </si>
  <si>
    <t>Empty</t>
    <phoneticPr fontId="1" type="noConversion"/>
  </si>
  <si>
    <t>- - - - - - - -</t>
    <phoneticPr fontId="1" type="noConversion"/>
  </si>
  <si>
    <t>ChainCriticalDmg_20</t>
    <phoneticPr fontId="1" type="noConversion"/>
  </si>
  <si>
    <t>ChainCriticalDmg_40</t>
    <phoneticPr fontId="1" type="noConversion"/>
  </si>
  <si>
    <t>ChainCriticalDmg_60</t>
    <phoneticPr fontId="1" type="noConversion"/>
  </si>
  <si>
    <t>ChainCriticalDmg_80</t>
    <phoneticPr fontId="1" type="noConversion"/>
  </si>
  <si>
    <t>ChainCriticalDmg_100</t>
    <phoneticPr fontId="1" type="noConversion"/>
  </si>
  <si>
    <t>ChainCriticalChance_10</t>
    <phoneticPr fontId="1" type="noConversion"/>
  </si>
  <si>
    <t>ChainCriticalChance_20</t>
    <phoneticPr fontId="1" type="noConversion"/>
  </si>
  <si>
    <t>ChainCriticalChance_30</t>
    <phoneticPr fontId="1" type="noConversion"/>
  </si>
  <si>
    <t>ChainCriticalChance_40</t>
    <phoneticPr fontId="1" type="noConversion"/>
  </si>
  <si>
    <t>ChainCriticalChance_50</t>
    <phoneticPr fontId="1" type="noConversion"/>
  </si>
  <si>
    <t>+30% ultimate critical damage</t>
    <phoneticPr fontId="1" type="noConversion"/>
  </si>
  <si>
    <t>+90% ultimate critical damage</t>
    <phoneticPr fontId="1" type="noConversion"/>
  </si>
  <si>
    <t>+120% ultimate critical damage</t>
    <phoneticPr fontId="1" type="noConversion"/>
  </si>
  <si>
    <t>+150% ultimate critical damage</t>
    <phoneticPr fontId="1" type="noConversion"/>
  </si>
  <si>
    <t>UltimateCriticalDmg_30</t>
    <phoneticPr fontId="1" type="noConversion"/>
  </si>
  <si>
    <t>UltimateCriticalDmg_60</t>
    <phoneticPr fontId="1" type="noConversion"/>
  </si>
  <si>
    <t>UltimateCriticalDmg_90</t>
    <phoneticPr fontId="1" type="noConversion"/>
  </si>
  <si>
    <t>UltimateCriticalDmg_120</t>
    <phoneticPr fontId="1" type="noConversion"/>
  </si>
  <si>
    <t>UltimateCriticalDmg_150</t>
    <phoneticPr fontId="1" type="noConversion"/>
  </si>
  <si>
    <t>UltimateCriticalChance_15</t>
    <phoneticPr fontId="1" type="noConversion"/>
  </si>
  <si>
    <t>UltimateCriticalChance_30</t>
    <phoneticPr fontId="1" type="noConversion"/>
  </si>
  <si>
    <t>UltimateCriticalChance_45</t>
    <phoneticPr fontId="1" type="noConversion"/>
  </si>
  <si>
    <t>UltimateCriticalChance_60</t>
    <phoneticPr fontId="1" type="noConversion"/>
  </si>
  <si>
    <t>UltimateCriticalChance_75</t>
    <phoneticPr fontId="1" type="noConversion"/>
  </si>
  <si>
    <t>FuryChance_10</t>
    <phoneticPr fontId="1" type="noConversion"/>
  </si>
  <si>
    <t>FuryChance_20</t>
    <phoneticPr fontId="1" type="noConversion"/>
  </si>
  <si>
    <t>FuryChance_30</t>
    <phoneticPr fontId="1" type="noConversion"/>
  </si>
  <si>
    <t>FuryChance_40</t>
    <phoneticPr fontId="1" type="noConversion"/>
  </si>
  <si>
    <t>FuryChance_50</t>
    <phoneticPr fontId="1" type="noConversion"/>
  </si>
  <si>
    <t>FocusChance_10</t>
    <phoneticPr fontId="1" type="noConversion"/>
  </si>
  <si>
    <t>FocusChance_20</t>
    <phoneticPr fontId="1" type="noConversion"/>
  </si>
  <si>
    <t>FocusChance_30</t>
    <phoneticPr fontId="1" type="noConversion"/>
  </si>
  <si>
    <t>FocusChance_40</t>
    <phoneticPr fontId="1" type="noConversion"/>
  </si>
  <si>
    <t>FocusChance_50</t>
    <phoneticPr fontId="1" type="noConversion"/>
  </si>
  <si>
    <t>DmgWithBurn_10</t>
    <phoneticPr fontId="1" type="noConversion"/>
  </si>
  <si>
    <t>DmgWithBurn_20</t>
    <phoneticPr fontId="1" type="noConversion"/>
  </si>
  <si>
    <t>DmgWithBurn_30</t>
    <phoneticPr fontId="1" type="noConversion"/>
  </si>
  <si>
    <t>DmgWithBurn_40</t>
    <phoneticPr fontId="1" type="noConversion"/>
  </si>
  <si>
    <t>DmgWithBurn_50</t>
    <phoneticPr fontId="1" type="noConversion"/>
  </si>
  <si>
    <t>UltimateDmgWithBurn_30</t>
    <phoneticPr fontId="1" type="noConversion"/>
  </si>
  <si>
    <t>UltimateDmgWithBurn_60</t>
    <phoneticPr fontId="1" type="noConversion"/>
  </si>
  <si>
    <t>UltimateDmgWithBurn_90</t>
    <phoneticPr fontId="1" type="noConversion"/>
  </si>
  <si>
    <t>UltimateDmgWithBurn_120</t>
    <phoneticPr fontId="1" type="noConversion"/>
  </si>
  <si>
    <t>UltimateDmgWithBurn_150</t>
    <phoneticPr fontId="1" type="noConversion"/>
  </si>
  <si>
    <t>ChainCriticalDmgBonus</t>
    <phoneticPr fontId="1" type="noConversion"/>
  </si>
  <si>
    <t>ChainCriticalChanceBonus</t>
    <phoneticPr fontId="1" type="noConversion"/>
  </si>
  <si>
    <t>UltimateCriticalDmgBonus</t>
    <phoneticPr fontId="1" type="noConversion"/>
  </si>
  <si>
    <t>UltimateCriticalChanceBonus</t>
    <phoneticPr fontId="1" type="noConversion"/>
  </si>
  <si>
    <t>CriticalDmgBonus</t>
    <phoneticPr fontId="1" type="noConversion"/>
  </si>
  <si>
    <t>Charms1</t>
    <phoneticPr fontId="1" type="noConversion"/>
  </si>
  <si>
    <t>Charms2</t>
    <phoneticPr fontId="1" type="noConversion"/>
  </si>
  <si>
    <t>Charms3</t>
    <phoneticPr fontId="1" type="noConversion"/>
  </si>
  <si>
    <t>Charms4</t>
    <phoneticPr fontId="1" type="noConversion"/>
  </si>
  <si>
    <t>Charms5</t>
    <phoneticPr fontId="1" type="noConversion"/>
  </si>
  <si>
    <t>WeaponDmg</t>
    <phoneticPr fontId="1" type="noConversion"/>
  </si>
  <si>
    <t>GauntletDmgBonus</t>
    <phoneticPr fontId="1" type="noConversion"/>
  </si>
  <si>
    <t>GauntletCriticalBonus</t>
    <phoneticPr fontId="1" type="noConversion"/>
  </si>
  <si>
    <t>FuryChance</t>
    <phoneticPr fontId="1" type="noConversion"/>
  </si>
  <si>
    <t>FocusChance</t>
    <phoneticPr fontId="1" type="noConversion"/>
  </si>
  <si>
    <t>DmgBonusWithBurn</t>
    <phoneticPr fontId="1" type="noConversion"/>
  </si>
  <si>
    <t>UltimateDmgBonusWithBurn</t>
    <phoneticPr fontId="1" type="noConversion"/>
  </si>
  <si>
    <t>DmgBonusWithAcid</t>
    <phoneticPr fontId="1" type="noConversion"/>
  </si>
  <si>
    <t>UltimateDmgBonusWithAcid</t>
    <phoneticPr fontId="1" type="noConversion"/>
  </si>
  <si>
    <t>DmgBonusWithPoison</t>
    <phoneticPr fontId="1" type="noConversion"/>
  </si>
  <si>
    <t>UltimateDmgBonusWithPoison</t>
    <phoneticPr fontId="1" type="noConversion"/>
  </si>
  <si>
    <t>ChainStart</t>
    <phoneticPr fontId="1" type="noConversion"/>
  </si>
  <si>
    <t>x1Chain</t>
    <phoneticPr fontId="1" type="noConversion"/>
  </si>
  <si>
    <t>UltimateChain</t>
    <phoneticPr fontId="1" type="noConversion"/>
  </si>
  <si>
    <t>CriticalChance</t>
    <phoneticPr fontId="1" type="noConversion"/>
  </si>
  <si>
    <t>CriticalChance(Focus)</t>
    <phoneticPr fontId="1" type="noConversion"/>
  </si>
  <si>
    <t>DmgCritical</t>
    <phoneticPr fontId="1" type="noConversion"/>
  </si>
  <si>
    <t>DmgExpected</t>
    <phoneticPr fontId="1" type="noConversion"/>
  </si>
  <si>
    <t>x2Chain</t>
    <phoneticPr fontId="1" type="noConversion"/>
  </si>
  <si>
    <t>終擊傷害加成-著火</t>
  </si>
  <si>
    <t>終擊傷害加成-著火</t>
    <phoneticPr fontId="1" type="noConversion"/>
  </si>
  <si>
    <t>終擊傷害加成-酸蝕</t>
  </si>
  <si>
    <t>終擊傷害加成-酸蝕</t>
    <phoneticPr fontId="1" type="noConversion"/>
  </si>
  <si>
    <t>終擊傷害加成-中毒</t>
  </si>
  <si>
    <t>終擊傷害加成-中毒</t>
    <phoneticPr fontId="1" type="noConversion"/>
  </si>
  <si>
    <t>攻擊傷害加成-著火</t>
  </si>
  <si>
    <t>攻擊傷害加成-著火</t>
    <phoneticPr fontId="1" type="noConversion"/>
  </si>
  <si>
    <t>攻擊傷害加成-酸蝕</t>
  </si>
  <si>
    <t>攻擊傷害加成-酸蝕</t>
    <phoneticPr fontId="1" type="noConversion"/>
  </si>
  <si>
    <t>攻擊傷害加成-中毒</t>
  </si>
  <si>
    <t>攻擊傷害加成-中毒</t>
    <phoneticPr fontId="1" type="noConversion"/>
  </si>
  <si>
    <t>+10% 攻擊傷害-著火</t>
    <phoneticPr fontId="1" type="noConversion"/>
  </si>
  <si>
    <t>+20% 攻擊傷害-著火</t>
    <phoneticPr fontId="1" type="noConversion"/>
  </si>
  <si>
    <t>+30% 攻擊傷害-著火</t>
    <phoneticPr fontId="1" type="noConversion"/>
  </si>
  <si>
    <t>+40% 攻擊傷害-著火</t>
    <phoneticPr fontId="1" type="noConversion"/>
  </si>
  <si>
    <t>+50% 攻擊傷害-著火</t>
    <phoneticPr fontId="1" type="noConversion"/>
  </si>
  <si>
    <t>+30% 終擊傷害-著火</t>
    <phoneticPr fontId="1" type="noConversion"/>
  </si>
  <si>
    <t>+60% 終擊傷害-著火</t>
    <phoneticPr fontId="1" type="noConversion"/>
  </si>
  <si>
    <t>+90% 終擊傷害-著火</t>
    <phoneticPr fontId="1" type="noConversion"/>
  </si>
  <si>
    <t>+120% 終擊傷害-著火</t>
    <phoneticPr fontId="1" type="noConversion"/>
  </si>
  <si>
    <t>+150% 終擊傷害-著火</t>
    <phoneticPr fontId="1" type="noConversion"/>
  </si>
  <si>
    <t>DmgWithAcid_10</t>
    <phoneticPr fontId="1" type="noConversion"/>
  </si>
  <si>
    <t>DmgWithAcid_20</t>
    <phoneticPr fontId="1" type="noConversion"/>
  </si>
  <si>
    <t>DmgWithAcid_30</t>
    <phoneticPr fontId="1" type="noConversion"/>
  </si>
  <si>
    <t>DmgWithAcid_40</t>
    <phoneticPr fontId="1" type="noConversion"/>
  </si>
  <si>
    <t>DmgWithAcid_50</t>
    <phoneticPr fontId="1" type="noConversion"/>
  </si>
  <si>
    <t>UltimateDmgWithAcid_30</t>
    <phoneticPr fontId="1" type="noConversion"/>
  </si>
  <si>
    <t>UltimateDmgWithAcid_60</t>
    <phoneticPr fontId="1" type="noConversion"/>
  </si>
  <si>
    <t>UltimateDmgWithAcid_90</t>
    <phoneticPr fontId="1" type="noConversion"/>
  </si>
  <si>
    <t>UltimateDmgWithAcid_120</t>
    <phoneticPr fontId="1" type="noConversion"/>
  </si>
  <si>
    <t>UltimateDmgWithAcid_150</t>
    <phoneticPr fontId="1" type="noConversion"/>
  </si>
  <si>
    <t>DmgWithPoison_10</t>
    <phoneticPr fontId="1" type="noConversion"/>
  </si>
  <si>
    <t>DmgWithPoison_20</t>
    <phoneticPr fontId="1" type="noConversion"/>
  </si>
  <si>
    <t>DmgWithPoison_30</t>
    <phoneticPr fontId="1" type="noConversion"/>
  </si>
  <si>
    <t>DmgWithPoison_40</t>
    <phoneticPr fontId="1" type="noConversion"/>
  </si>
  <si>
    <t>DmgWithPoison_50</t>
    <phoneticPr fontId="1" type="noConversion"/>
  </si>
  <si>
    <t>UltimateDmgWithPoison_30</t>
    <phoneticPr fontId="1" type="noConversion"/>
  </si>
  <si>
    <t>UltimateDmgWithPoison_60</t>
    <phoneticPr fontId="1" type="noConversion"/>
  </si>
  <si>
    <t>UltimateDmgWithPoison_90</t>
    <phoneticPr fontId="1" type="noConversion"/>
  </si>
  <si>
    <t>UltimateDmgWithPoison_120</t>
    <phoneticPr fontId="1" type="noConversion"/>
  </si>
  <si>
    <t>UltimateDmgWithPoison_150</t>
    <phoneticPr fontId="1" type="noConversion"/>
  </si>
  <si>
    <t>+10% 攻擊傷害-酸蝕</t>
    <phoneticPr fontId="1" type="noConversion"/>
  </si>
  <si>
    <t>+20% 攻擊傷害-酸蝕</t>
    <phoneticPr fontId="1" type="noConversion"/>
  </si>
  <si>
    <t>+30% 攻擊傷害-酸蝕</t>
    <phoneticPr fontId="1" type="noConversion"/>
  </si>
  <si>
    <t>+40% 攻擊傷害-酸蝕</t>
    <phoneticPr fontId="1" type="noConversion"/>
  </si>
  <si>
    <t>+50% 攻擊傷害-酸蝕</t>
    <phoneticPr fontId="1" type="noConversion"/>
  </si>
  <si>
    <t>+30% 終擊傷害-酸蝕</t>
    <phoneticPr fontId="1" type="noConversion"/>
  </si>
  <si>
    <t>+60% 終擊傷害-酸蝕</t>
    <phoneticPr fontId="1" type="noConversion"/>
  </si>
  <si>
    <t>+90% 終擊傷害-酸蝕</t>
    <phoneticPr fontId="1" type="noConversion"/>
  </si>
  <si>
    <t>+120% 終擊傷害-酸蝕</t>
    <phoneticPr fontId="1" type="noConversion"/>
  </si>
  <si>
    <t>+150% 終擊傷害-酸蝕</t>
    <phoneticPr fontId="1" type="noConversion"/>
  </si>
  <si>
    <t>+10% 攻擊傷害-中毒</t>
    <phoneticPr fontId="1" type="noConversion"/>
  </si>
  <si>
    <t>+20% 攻擊傷害-中毒</t>
    <phoneticPr fontId="1" type="noConversion"/>
  </si>
  <si>
    <t>+30% 攻擊傷害-中毒</t>
    <phoneticPr fontId="1" type="noConversion"/>
  </si>
  <si>
    <t>+40% 攻擊傷害-中毒</t>
    <phoneticPr fontId="1" type="noConversion"/>
  </si>
  <si>
    <t>+50% 攻擊傷害-中毒</t>
    <phoneticPr fontId="1" type="noConversion"/>
  </si>
  <si>
    <t>+30% 終擊傷害-中毒</t>
    <phoneticPr fontId="1" type="noConversion"/>
  </si>
  <si>
    <t>+60% 終擊傷害-中毒</t>
    <phoneticPr fontId="1" type="noConversion"/>
  </si>
  <si>
    <t>+90% 終擊傷害-中毒</t>
    <phoneticPr fontId="1" type="noConversion"/>
  </si>
  <si>
    <t>+120% 終擊傷害-中毒</t>
    <phoneticPr fontId="1" type="noConversion"/>
  </si>
  <si>
    <t>+150% 終擊傷害-中毒</t>
    <phoneticPr fontId="1" type="noConversion"/>
  </si>
  <si>
    <t>爆擊傷害加成</t>
  </si>
  <si>
    <t>爆擊傷害加成</t>
    <phoneticPr fontId="1" type="noConversion"/>
  </si>
  <si>
    <t>+10% chain critical chance</t>
    <phoneticPr fontId="1" type="noConversion"/>
  </si>
  <si>
    <t>+10% 連擊爆擊機率</t>
    <phoneticPr fontId="1" type="noConversion"/>
  </si>
  <si>
    <t>+20% 連擊爆擊機率</t>
    <phoneticPr fontId="1" type="noConversion"/>
  </si>
  <si>
    <t>+30% 連擊爆擊機率</t>
    <phoneticPr fontId="1" type="noConversion"/>
  </si>
  <si>
    <t>+40% 連擊爆擊機率</t>
    <phoneticPr fontId="1" type="noConversion"/>
  </si>
  <si>
    <t>+50% 連擊爆擊機率</t>
  </si>
  <si>
    <t>+50% 連擊爆擊機率</t>
    <phoneticPr fontId="1" type="noConversion"/>
  </si>
  <si>
    <t>+20% 連擊爆擊傷害</t>
    <phoneticPr fontId="1" type="noConversion"/>
  </si>
  <si>
    <t>+40% 連擊爆擊傷害</t>
    <phoneticPr fontId="1" type="noConversion"/>
  </si>
  <si>
    <t>+60% 連擊爆擊傷害</t>
    <phoneticPr fontId="1" type="noConversion"/>
  </si>
  <si>
    <t>+80% 連擊爆擊傷害</t>
    <phoneticPr fontId="1" type="noConversion"/>
  </si>
  <si>
    <t>+100% 連擊爆擊傷害</t>
  </si>
  <si>
    <t>+100% 連擊爆擊傷害</t>
    <phoneticPr fontId="1" type="noConversion"/>
  </si>
  <si>
    <t>+15% 終擊爆擊機率</t>
    <phoneticPr fontId="1" type="noConversion"/>
  </si>
  <si>
    <t>+30% 終擊爆擊機率</t>
    <phoneticPr fontId="1" type="noConversion"/>
  </si>
  <si>
    <t>+45% 終擊爆擊機率</t>
  </si>
  <si>
    <t>+45% 終擊爆擊機率</t>
    <phoneticPr fontId="1" type="noConversion"/>
  </si>
  <si>
    <t>+60% 終擊爆擊機率</t>
    <phoneticPr fontId="1" type="noConversion"/>
  </si>
  <si>
    <t>+75% 終擊爆擊機率</t>
    <phoneticPr fontId="1" type="noConversion"/>
  </si>
  <si>
    <t>+30% 終擊爆擊傷害</t>
    <phoneticPr fontId="1" type="noConversion"/>
  </si>
  <si>
    <t>+60% 終擊爆擊傷害</t>
    <phoneticPr fontId="1" type="noConversion"/>
  </si>
  <si>
    <t>+90% 終擊爆擊傷害</t>
    <phoneticPr fontId="1" type="noConversion"/>
  </si>
  <si>
    <t>+120% 終擊爆擊傷害</t>
    <phoneticPr fontId="1" type="noConversion"/>
  </si>
  <si>
    <t>+150% 終擊爆擊傷害</t>
    <phoneticPr fontId="1" type="noConversion"/>
  </si>
  <si>
    <t>+50% 攻擊傷害-著火</t>
  </si>
  <si>
    <t>否</t>
  </si>
  <si>
    <t>是</t>
  </si>
  <si>
    <t>+10% 連擊爆擊機率</t>
  </si>
  <si>
    <t>+20% 連擊爆擊機率</t>
  </si>
  <si>
    <t>+30% 連擊爆擊機率</t>
  </si>
  <si>
    <t>+40% 連擊爆擊機率</t>
  </si>
  <si>
    <t>+20% 連擊爆擊傷害</t>
  </si>
  <si>
    <t>+40% 連擊爆擊傷害</t>
  </si>
  <si>
    <t>+60% 連擊爆擊傷害</t>
  </si>
  <si>
    <t>+80% 連擊爆擊傷害</t>
  </si>
  <si>
    <t>+15% 終擊爆擊機率</t>
  </si>
  <si>
    <t>+30% 終擊爆擊機率</t>
  </si>
  <si>
    <t>+60% 終擊爆擊機率</t>
  </si>
  <si>
    <t>+75% 終擊爆擊機率</t>
  </si>
  <si>
    <t>+30% 終擊爆擊傷害</t>
  </si>
  <si>
    <t>+60% 終擊爆擊傷害</t>
  </si>
  <si>
    <t>+90% 終擊爆擊傷害</t>
  </si>
  <si>
    <t>+120% 終擊爆擊傷害</t>
  </si>
  <si>
    <t>+150% 終擊爆擊傷害</t>
  </si>
  <si>
    <t>+10% 憤怒機率</t>
  </si>
  <si>
    <t>+20% 憤怒機率</t>
  </si>
  <si>
    <t>+10% 集中機率</t>
  </si>
  <si>
    <t>+20% 集中機率</t>
  </si>
  <si>
    <t>+30% 集中機率</t>
  </si>
  <si>
    <t>+40% 集中機率</t>
  </si>
  <si>
    <t>+50% 集中機率</t>
  </si>
  <si>
    <t>+10% 攻擊傷害-著火</t>
  </si>
  <si>
    <t>+20% 攻擊傷害-著火</t>
  </si>
  <si>
    <t>+30% 攻擊傷害-著火</t>
  </si>
  <si>
    <t>+40% 攻擊傷害-著火</t>
  </si>
  <si>
    <t>+30% 終擊傷害-著火</t>
  </si>
  <si>
    <t>+60% 終擊傷害-著火</t>
  </si>
  <si>
    <t>+90% 終擊傷害-著火</t>
  </si>
  <si>
    <t>+120% 終擊傷害-著火</t>
  </si>
  <si>
    <t>+150% 終擊傷害-著火</t>
  </si>
  <si>
    <t>+10% 攻擊傷害-酸蝕</t>
  </si>
  <si>
    <t>+20% 攻擊傷害-酸蝕</t>
  </si>
  <si>
    <t>+30% 攻擊傷害-酸蝕</t>
  </si>
  <si>
    <t>+40% 攻擊傷害-酸蝕</t>
  </si>
  <si>
    <t>+50% 攻擊傷害-酸蝕</t>
  </si>
  <si>
    <t>+30% 終擊傷害-酸蝕</t>
  </si>
  <si>
    <t>+60% 終擊傷害-酸蝕</t>
  </si>
  <si>
    <t>+90% 終擊傷害-酸蝕</t>
  </si>
  <si>
    <t>+120% 終擊傷害-酸蝕</t>
  </si>
  <si>
    <t>+150% 終擊傷害-酸蝕</t>
  </si>
  <si>
    <t>+10% 攻擊傷害-中毒</t>
  </si>
  <si>
    <t>+20% 攻擊傷害-中毒</t>
  </si>
  <si>
    <t>+30% 攻擊傷害-中毒</t>
  </si>
  <si>
    <t>+40% 攻擊傷害-中毒</t>
  </si>
  <si>
    <t>+50% 攻擊傷害-中毒</t>
  </si>
  <si>
    <t>+30% 終擊傷害-中毒</t>
  </si>
  <si>
    <t>+60% 終擊傷害-中毒</t>
  </si>
  <si>
    <t>+90% 終擊傷害-中毒</t>
  </si>
  <si>
    <t>+120% 終擊傷害-中毒</t>
  </si>
  <si>
    <t>+150% 終擊傷害-中毒</t>
  </si>
  <si>
    <t>LesserStrengthMax</t>
    <phoneticPr fontId="1" type="noConversion"/>
  </si>
  <si>
    <t>LesserStrengthExp</t>
    <phoneticPr fontId="1" type="noConversion"/>
  </si>
  <si>
    <t>溫和力量靈藥-期望值</t>
  </si>
  <si>
    <t>溫和力量靈藥-期望值</t>
    <phoneticPr fontId="1" type="noConversion"/>
  </si>
  <si>
    <t>ImprovedStrengthMax</t>
    <phoneticPr fontId="1" type="noConversion"/>
  </si>
  <si>
    <t>ImprovedStrengthExp</t>
    <phoneticPr fontId="1" type="noConversion"/>
  </si>
  <si>
    <t>GreaterStrengthMax</t>
    <phoneticPr fontId="1" type="noConversion"/>
  </si>
  <si>
    <t>GreaterStrengthExp</t>
    <phoneticPr fontId="1" type="noConversion"/>
  </si>
  <si>
    <t>改良力量靈藥-期望值</t>
  </si>
  <si>
    <t>改良力量靈藥-期望值</t>
    <phoneticPr fontId="1" type="noConversion"/>
  </si>
  <si>
    <t>強效力量靈藥-期望值</t>
  </si>
  <si>
    <t>強效力量靈藥-期望值</t>
    <phoneticPr fontId="1" type="noConversion"/>
  </si>
  <si>
    <t>溫和力量靈藥-最高值</t>
  </si>
  <si>
    <t>溫和力量靈藥-最高值</t>
    <phoneticPr fontId="1" type="noConversion"/>
  </si>
  <si>
    <t>改良力量靈藥-最高值</t>
  </si>
  <si>
    <t>改良力量靈藥-最高值</t>
    <phoneticPr fontId="1" type="noConversion"/>
  </si>
  <si>
    <t>強效力量靈藥-最高值</t>
  </si>
  <si>
    <t>強效力量靈藥-最高值</t>
    <phoneticPr fontId="1" type="noConversion"/>
  </si>
  <si>
    <t>+80% 連擊爆擊傷害</t>
    <phoneticPr fontId="1" type="noConversion"/>
  </si>
  <si>
    <t>+40% 連擊爆擊機率</t>
    <phoneticPr fontId="1" type="noConversion"/>
  </si>
  <si>
    <t>+50% 憤怒機率</t>
    <phoneticPr fontId="1" type="noConversion"/>
  </si>
  <si>
    <t>著火</t>
    <phoneticPr fontId="1" type="noConversion"/>
  </si>
  <si>
    <t>酸蝕</t>
    <phoneticPr fontId="1" type="noConversion"/>
  </si>
  <si>
    <t>中毒</t>
    <phoneticPr fontId="1" type="noConversion"/>
  </si>
  <si>
    <t>護符1</t>
    <phoneticPr fontId="1" type="noConversion"/>
  </si>
  <si>
    <t>護符2</t>
    <phoneticPr fontId="1" type="noConversion"/>
  </si>
  <si>
    <t>護符3</t>
    <phoneticPr fontId="1" type="noConversion"/>
  </si>
  <si>
    <t>護符4</t>
    <phoneticPr fontId="1" type="noConversion"/>
  </si>
  <si>
    <t>護符5</t>
    <phoneticPr fontId="1" type="noConversion"/>
  </si>
  <si>
    <t>武器基本傷害</t>
    <phoneticPr fontId="1" type="noConversion"/>
  </si>
  <si>
    <t>拳套傷害加成</t>
    <phoneticPr fontId="1" type="noConversion"/>
  </si>
  <si>
    <t>拳套暴擊加成</t>
    <phoneticPr fontId="1" type="noConversion"/>
  </si>
  <si>
    <t>Dmg</t>
    <phoneticPr fontId="1" type="noConversion"/>
  </si>
  <si>
    <t>DmgFury</t>
    <phoneticPr fontId="1" type="noConversion"/>
  </si>
  <si>
    <t>傷害</t>
  </si>
  <si>
    <t>傷害</t>
    <phoneticPr fontId="1" type="noConversion"/>
  </si>
  <si>
    <t>傷害-憤怒</t>
  </si>
  <si>
    <t>傷害-憤怒</t>
    <phoneticPr fontId="1" type="noConversion"/>
  </si>
  <si>
    <t>Damage</t>
    <phoneticPr fontId="1" type="noConversion"/>
  </si>
  <si>
    <t>Damage-Fury</t>
    <phoneticPr fontId="1" type="noConversion"/>
  </si>
  <si>
    <t>DmgFuryCritical</t>
    <phoneticPr fontId="1" type="noConversion"/>
  </si>
  <si>
    <t>傷害-憤怒-爆擊</t>
  </si>
  <si>
    <t>傷害-憤怒-爆擊</t>
    <phoneticPr fontId="1" type="noConversion"/>
  </si>
  <si>
    <t>Damage-Fury-Critical</t>
    <phoneticPr fontId="1" type="noConversion"/>
  </si>
  <si>
    <t>Lesser Elixir Of Strength-Max</t>
    <phoneticPr fontId="1" type="noConversion"/>
  </si>
  <si>
    <t>Lesser Elixir Of Strength-Exp</t>
    <phoneticPr fontId="1" type="noConversion"/>
  </si>
  <si>
    <t>Improved Elixir Of Strength-Max</t>
    <phoneticPr fontId="1" type="noConversion"/>
  </si>
  <si>
    <t>Improved  Elixir Of Strength-Exp</t>
    <phoneticPr fontId="1" type="noConversion"/>
  </si>
  <si>
    <t>Greater Elixir Of Strength-Max</t>
    <phoneticPr fontId="1" type="noConversion"/>
  </si>
  <si>
    <t>Greater Elixir Of Strength-Exp</t>
    <phoneticPr fontId="1" type="noConversion"/>
  </si>
  <si>
    <t>Expose</t>
    <phoneticPr fontId="1" type="noConversion"/>
  </si>
  <si>
    <t>暴露弱點</t>
    <phoneticPr fontId="1" type="noConversion"/>
  </si>
  <si>
    <t>暴露弱點</t>
    <phoneticPr fontId="1" type="noConversion"/>
  </si>
  <si>
    <t>版本 : V.2023.03.25</t>
    <phoneticPr fontId="1" type="noConversion"/>
  </si>
  <si>
    <t>+80% 連擊爆擊傷害</t>
    <phoneticPr fontId="1" type="noConversion"/>
  </si>
  <si>
    <t>+40% 連擊爆擊機率</t>
    <phoneticPr fontId="1" type="noConversion"/>
  </si>
  <si>
    <t>+50% 憤怒機率</t>
    <phoneticPr fontId="1" type="noConversion"/>
  </si>
  <si>
    <t>著火</t>
    <phoneticPr fontId="1" type="noConversion"/>
  </si>
  <si>
    <t>酸蝕</t>
    <phoneticPr fontId="1" type="noConversion"/>
  </si>
  <si>
    <t>中毒</t>
    <phoneticPr fontId="1" type="noConversion"/>
  </si>
  <si>
    <t>暴露弱點</t>
    <phoneticPr fontId="1" type="noConversion"/>
  </si>
  <si>
    <t>護符1</t>
    <phoneticPr fontId="1" type="noConversion"/>
  </si>
  <si>
    <t>護符2</t>
    <phoneticPr fontId="1" type="noConversion"/>
  </si>
  <si>
    <t>護符3</t>
    <phoneticPr fontId="1" type="noConversion"/>
  </si>
  <si>
    <t>護符4</t>
    <phoneticPr fontId="1" type="noConversion"/>
  </si>
  <si>
    <t>護符5</t>
    <phoneticPr fontId="1" type="noConversion"/>
  </si>
  <si>
    <t>武器基本傷害</t>
    <phoneticPr fontId="1" type="noConversion"/>
  </si>
  <si>
    <t>拳套傷害加成</t>
    <phoneticPr fontId="1" type="noConversion"/>
  </si>
  <si>
    <t>拳套暴擊加成</t>
    <phoneticPr fontId="1" type="noConversion"/>
  </si>
  <si>
    <t>版本 : V.2023.03.26</t>
    <phoneticPr fontId="1" type="noConversion"/>
  </si>
</sst>
</file>

<file path=xl/styles.xml><?xml version="1.0" encoding="utf-8"?>
<styleSheet xmlns="http://schemas.openxmlformats.org/spreadsheetml/2006/main">
  <fonts count="4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微軟正黑體"/>
      <family val="2"/>
      <charset val="136"/>
    </font>
    <font>
      <sz val="12"/>
      <color theme="1"/>
      <name val="微軟正黑體 Light"/>
      <family val="2"/>
      <charset val="136"/>
    </font>
  </fonts>
  <fills count="10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8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0" xfId="0" applyFont="1" applyFill="1">
      <alignment vertical="center"/>
    </xf>
    <xf numFmtId="0" fontId="2" fillId="0" borderId="0" xfId="0" applyFont="1" applyAlignment="1">
      <alignment vertical="center" wrapText="1"/>
    </xf>
    <xf numFmtId="0" fontId="2" fillId="0" borderId="0" xfId="0" applyFont="1" applyFill="1" applyAlignment="1">
      <alignment vertical="center" wrapText="1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2" fillId="3" borderId="1" xfId="0" applyFont="1" applyFill="1" applyBorder="1" applyAlignment="1" applyProtection="1">
      <alignment horizontal="center" vertical="center" wrapText="1"/>
      <protection locked="0"/>
    </xf>
    <xf numFmtId="0" fontId="2" fillId="3" borderId="1" xfId="0" applyNumberFormat="1" applyFont="1" applyFill="1" applyBorder="1" applyAlignment="1" applyProtection="1">
      <alignment horizontal="center" vertical="center" wrapText="1"/>
      <protection locked="0"/>
    </xf>
    <xf numFmtId="0" fontId="2" fillId="2" borderId="1" xfId="0" applyFont="1" applyFill="1" applyBorder="1" applyAlignment="1">
      <alignment horizontal="center" vertical="center" wrapText="1"/>
    </xf>
    <xf numFmtId="0" fontId="3" fillId="5" borderId="0" xfId="0" applyFont="1" applyFill="1" applyAlignment="1">
      <alignment vertical="center"/>
    </xf>
    <xf numFmtId="0" fontId="3" fillId="3" borderId="0" xfId="0" applyFont="1" applyFill="1">
      <alignment vertical="center"/>
    </xf>
    <xf numFmtId="0" fontId="3" fillId="2" borderId="0" xfId="0" applyFont="1" applyFill="1" applyAlignment="1">
      <alignment vertical="center"/>
    </xf>
    <xf numFmtId="0" fontId="3" fillId="0" borderId="0" xfId="0" quotePrefix="1" applyFont="1" applyFill="1">
      <alignment vertical="center"/>
    </xf>
    <xf numFmtId="0" fontId="3" fillId="0" borderId="0" xfId="0" applyFont="1" applyFill="1">
      <alignment vertical="center"/>
    </xf>
    <xf numFmtId="0" fontId="3" fillId="2" borderId="0" xfId="0" applyFont="1" applyFill="1">
      <alignment vertical="center"/>
    </xf>
    <xf numFmtId="0" fontId="3" fillId="0" borderId="0" xfId="0" applyFont="1">
      <alignment vertical="center"/>
    </xf>
    <xf numFmtId="0" fontId="3" fillId="0" borderId="0" xfId="0" quotePrefix="1" applyFont="1">
      <alignment vertical="center"/>
    </xf>
    <xf numFmtId="0" fontId="3" fillId="2" borderId="0" xfId="0" applyFont="1" applyFill="1" applyAlignment="1">
      <alignment vertical="center" wrapText="1"/>
    </xf>
    <xf numFmtId="0" fontId="3" fillId="0" borderId="0" xfId="0" applyFont="1" applyAlignment="1">
      <alignment vertical="center" wrapText="1"/>
    </xf>
    <xf numFmtId="0" fontId="3" fillId="0" borderId="0" xfId="0" applyFont="1" applyAlignment="1">
      <alignment vertical="center"/>
    </xf>
    <xf numFmtId="0" fontId="2" fillId="6" borderId="0" xfId="0" applyFont="1" applyFill="1" applyBorder="1" applyAlignment="1">
      <alignment horizontal="center" vertical="center"/>
    </xf>
    <xf numFmtId="0" fontId="2" fillId="7" borderId="0" xfId="0" applyFont="1" applyFill="1" applyBorder="1" applyAlignment="1">
      <alignment horizontal="center" vertical="center"/>
    </xf>
    <xf numFmtId="0" fontId="2" fillId="8" borderId="0" xfId="0" applyFont="1" applyFill="1" applyBorder="1" applyAlignment="1">
      <alignment horizontal="center" vertical="center"/>
    </xf>
    <xf numFmtId="0" fontId="2" fillId="0" borderId="0" xfId="0" applyFont="1" applyAlignment="1">
      <alignment vertical="center" wrapText="1"/>
    </xf>
    <xf numFmtId="0" fontId="2" fillId="9" borderId="0" xfId="0" applyFont="1" applyFill="1" applyBorder="1" applyAlignment="1">
      <alignment horizontal="center" vertical="center"/>
    </xf>
    <xf numFmtId="0" fontId="0" fillId="0" borderId="0" xfId="0" applyAlignment="1">
      <alignment vertical="center" wrapText="1"/>
    </xf>
  </cellXfs>
  <cellStyles count="1">
    <cellStyle name="一般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RS54"/>
  <sheetViews>
    <sheetView tabSelected="1" workbookViewId="0">
      <pane ySplit="3" topLeftCell="A4" activePane="bottomLeft" state="frozen"/>
      <selection pane="bottomLeft" activeCell="I9" sqref="I9"/>
    </sheetView>
  </sheetViews>
  <sheetFormatPr defaultRowHeight="17"/>
  <cols>
    <col min="1" max="1" width="15" style="1" customWidth="1"/>
    <col min="2" max="2" width="22.54296875" style="3" customWidth="1"/>
    <col min="3" max="3" width="16.26953125" style="1" customWidth="1"/>
    <col min="4" max="4" width="19.1796875" style="1" customWidth="1"/>
    <col min="5" max="5" width="15.08984375" style="1" customWidth="1"/>
    <col min="6" max="6" width="19.81640625" style="1" customWidth="1"/>
    <col min="7" max="7" width="14.1796875" style="1" customWidth="1"/>
    <col min="8" max="8" width="12.453125" style="1" customWidth="1"/>
    <col min="9" max="9" width="13" style="1" customWidth="1"/>
    <col min="10" max="10" width="11.54296875" style="1" customWidth="1"/>
    <col min="11" max="11" width="9.90625" style="1" customWidth="1"/>
    <col min="12" max="12" width="10.08984375" style="1" customWidth="1"/>
    <col min="13" max="13" width="8.90625" style="1" customWidth="1"/>
    <col min="14" max="14" width="10.6328125" style="1" customWidth="1"/>
    <col min="15" max="16" width="8.7265625" style="1"/>
    <col min="17" max="17" width="19.453125" style="1" customWidth="1"/>
    <col min="18" max="472" width="8.7265625" style="1"/>
    <col min="473" max="487" width="8.7265625" style="27"/>
    <col min="488" max="16384" width="8.7265625" style="1"/>
  </cols>
  <sheetData>
    <row r="1" spans="1:487" s="6" customFormat="1" ht="30" customHeight="1">
      <c r="A1" s="7">
        <v>1</v>
      </c>
      <c r="B1" s="23" t="s">
        <v>422</v>
      </c>
      <c r="C1" s="23">
        <v>1</v>
      </c>
      <c r="D1" s="22" t="s">
        <v>423</v>
      </c>
      <c r="E1" s="22">
        <v>1</v>
      </c>
      <c r="F1" s="24" t="s">
        <v>424</v>
      </c>
      <c r="G1" s="24">
        <v>1</v>
      </c>
      <c r="H1" s="26" t="s">
        <v>425</v>
      </c>
      <c r="I1" s="26">
        <v>2</v>
      </c>
      <c r="RE1" s="27"/>
      <c r="RF1" s="27"/>
      <c r="RG1" s="27"/>
      <c r="RH1" s="27"/>
      <c r="RI1" s="27"/>
      <c r="RJ1" s="27"/>
      <c r="RK1" s="27"/>
      <c r="RL1" s="27"/>
      <c r="RM1" s="27"/>
      <c r="RN1" s="27"/>
      <c r="RO1" s="27"/>
      <c r="RP1" s="27"/>
      <c r="RQ1" s="27"/>
      <c r="RR1" s="27"/>
      <c r="RS1" s="27"/>
    </row>
    <row r="2" spans="1:487" ht="42" customHeight="1">
      <c r="A2" s="25" t="s">
        <v>434</v>
      </c>
      <c r="B2" s="10" t="s">
        <v>426</v>
      </c>
      <c r="C2" s="10" t="s">
        <v>427</v>
      </c>
      <c r="D2" s="10" t="s">
        <v>428</v>
      </c>
      <c r="E2" s="10" t="s">
        <v>429</v>
      </c>
      <c r="F2" s="10" t="s">
        <v>430</v>
      </c>
      <c r="G2" s="10" t="s">
        <v>431</v>
      </c>
      <c r="H2" s="10" t="s">
        <v>432</v>
      </c>
      <c r="I2" s="10" t="s">
        <v>433</v>
      </c>
      <c r="J2" s="6"/>
    </row>
    <row r="3" spans="1:487" s="3" customFormat="1" ht="38.5" customHeight="1">
      <c r="A3" s="5"/>
      <c r="B3" s="8" t="s">
        <v>419</v>
      </c>
      <c r="C3" s="8" t="s">
        <v>419</v>
      </c>
      <c r="D3" s="8" t="s">
        <v>420</v>
      </c>
      <c r="E3" s="8" t="s">
        <v>421</v>
      </c>
      <c r="F3" s="8" t="s">
        <v>419</v>
      </c>
      <c r="G3" s="9">
        <v>7624</v>
      </c>
      <c r="H3" s="9">
        <v>0.36</v>
      </c>
      <c r="I3" s="9">
        <v>0.24</v>
      </c>
      <c r="L3" s="4"/>
      <c r="RE3" s="27"/>
      <c r="RF3" s="27"/>
      <c r="RG3" s="27"/>
      <c r="RH3" s="27"/>
      <c r="RI3" s="27"/>
      <c r="RJ3" s="27"/>
      <c r="RK3" s="27"/>
      <c r="RL3" s="27"/>
      <c r="RM3" s="27"/>
      <c r="RN3" s="27"/>
      <c r="RO3" s="27"/>
      <c r="RP3" s="27"/>
      <c r="RQ3" s="27"/>
      <c r="RR3" s="27"/>
      <c r="RS3" s="27"/>
    </row>
    <row r="4" spans="1:487">
      <c r="A4" s="25"/>
      <c r="B4" s="25" t="s">
        <v>19</v>
      </c>
      <c r="C4" s="25">
        <v>0.4</v>
      </c>
      <c r="D4" s="25" t="s">
        <v>8</v>
      </c>
      <c r="E4" s="25">
        <v>0.5</v>
      </c>
      <c r="F4" s="25" t="s">
        <v>229</v>
      </c>
      <c r="G4" s="25">
        <v>0</v>
      </c>
      <c r="H4" s="25"/>
      <c r="PA4" s="27"/>
      <c r="PB4" s="27"/>
      <c r="PC4" s="27"/>
      <c r="PD4" s="27"/>
      <c r="PE4" s="27"/>
      <c r="PF4" s="27"/>
      <c r="PG4" s="27"/>
      <c r="PH4" s="27"/>
      <c r="PI4" s="27"/>
      <c r="PJ4" s="27"/>
      <c r="PK4" s="27"/>
      <c r="PL4" s="27"/>
      <c r="PM4" s="27"/>
      <c r="PN4" s="27"/>
      <c r="PO4" s="27"/>
      <c r="RE4" s="1"/>
      <c r="RF4" s="1"/>
      <c r="RG4" s="1"/>
      <c r="RH4" s="1"/>
      <c r="RI4" s="1"/>
      <c r="RJ4" s="1"/>
      <c r="RK4" s="1"/>
      <c r="RL4" s="1"/>
      <c r="RM4" s="1"/>
      <c r="RN4" s="1"/>
      <c r="RO4" s="1"/>
      <c r="RP4" s="1"/>
      <c r="RQ4" s="1"/>
      <c r="RR4" s="1"/>
      <c r="RS4" s="1"/>
    </row>
    <row r="5" spans="1:487" s="25" customFormat="1">
      <c r="B5" s="25" t="s">
        <v>17</v>
      </c>
      <c r="C5" s="25">
        <v>2.4000000000000004</v>
      </c>
      <c r="D5" s="25" t="s">
        <v>9</v>
      </c>
      <c r="E5" s="25">
        <v>0</v>
      </c>
      <c r="F5" s="25" t="s">
        <v>223</v>
      </c>
      <c r="G5" s="25">
        <v>0</v>
      </c>
      <c r="LA5" s="27"/>
      <c r="LB5" s="27"/>
      <c r="LC5" s="27"/>
      <c r="LD5" s="27"/>
      <c r="LE5" s="27"/>
      <c r="LF5" s="27"/>
      <c r="LG5" s="27"/>
      <c r="LH5" s="27"/>
      <c r="LI5" s="27"/>
      <c r="LJ5" s="27"/>
      <c r="LK5" s="27"/>
      <c r="LL5" s="27"/>
      <c r="LM5" s="27"/>
      <c r="LN5" s="27"/>
      <c r="LO5" s="27"/>
    </row>
    <row r="6" spans="1:487" s="25" customFormat="1">
      <c r="B6" s="25" t="s">
        <v>20</v>
      </c>
      <c r="C6" s="25">
        <v>0</v>
      </c>
      <c r="D6" s="25" t="s">
        <v>227</v>
      </c>
      <c r="E6" s="25">
        <v>0</v>
      </c>
      <c r="F6" s="25" t="s">
        <v>231</v>
      </c>
      <c r="G6" s="25">
        <v>0</v>
      </c>
      <c r="LA6" s="27"/>
      <c r="LB6" s="27"/>
      <c r="LC6" s="27"/>
      <c r="LD6" s="27"/>
      <c r="LE6" s="27"/>
      <c r="LF6" s="27"/>
      <c r="LG6" s="27"/>
      <c r="LH6" s="27"/>
      <c r="LI6" s="27"/>
      <c r="LJ6" s="27"/>
      <c r="LK6" s="27"/>
      <c r="LL6" s="27"/>
      <c r="LM6" s="27"/>
      <c r="LN6" s="27"/>
      <c r="LO6" s="27"/>
    </row>
    <row r="7" spans="1:487" s="25" customFormat="1">
      <c r="B7" s="25" t="s">
        <v>18</v>
      </c>
      <c r="C7" s="25">
        <v>0</v>
      </c>
      <c r="D7" s="25" t="s">
        <v>221</v>
      </c>
      <c r="E7" s="25">
        <v>0</v>
      </c>
      <c r="F7" s="25" t="s">
        <v>225</v>
      </c>
      <c r="G7" s="25">
        <v>0</v>
      </c>
      <c r="LA7" s="27"/>
      <c r="LB7" s="27"/>
      <c r="LC7" s="27"/>
      <c r="LD7" s="27"/>
      <c r="LE7" s="27"/>
      <c r="LF7" s="27"/>
      <c r="LG7" s="27"/>
      <c r="LH7" s="27"/>
      <c r="LI7" s="27"/>
      <c r="LJ7" s="27"/>
      <c r="LK7" s="27"/>
      <c r="LL7" s="27"/>
      <c r="LM7" s="27"/>
      <c r="LN7" s="27"/>
      <c r="LO7" s="27"/>
    </row>
    <row r="8" spans="1:487" s="25" customFormat="1">
      <c r="LA8" s="27"/>
      <c r="LB8" s="27"/>
      <c r="LC8" s="27"/>
      <c r="LD8" s="27"/>
      <c r="LE8" s="27"/>
      <c r="LF8" s="27"/>
      <c r="LG8" s="27"/>
      <c r="LH8" s="27"/>
      <c r="LI8" s="27"/>
      <c r="LJ8" s="27"/>
      <c r="LK8" s="27"/>
      <c r="LL8" s="27"/>
      <c r="LM8" s="27"/>
      <c r="LN8" s="27"/>
      <c r="LO8" s="27"/>
    </row>
    <row r="9" spans="1:487" s="25" customFormat="1">
      <c r="C9" s="25" t="s">
        <v>74</v>
      </c>
      <c r="D9" s="25" t="s">
        <v>76</v>
      </c>
      <c r="E9" s="25" t="s">
        <v>78</v>
      </c>
      <c r="F9" s="25" t="s">
        <v>80</v>
      </c>
      <c r="H9" s="25" t="s">
        <v>11</v>
      </c>
      <c r="LA9" s="27"/>
      <c r="LB9" s="27"/>
      <c r="LC9" s="27"/>
      <c r="LD9" s="27"/>
      <c r="LE9" s="27"/>
      <c r="LF9" s="27"/>
      <c r="LG9" s="27"/>
      <c r="LH9" s="27"/>
      <c r="LI9" s="27"/>
      <c r="LJ9" s="27"/>
      <c r="LK9" s="27"/>
      <c r="LL9" s="27"/>
      <c r="LM9" s="27"/>
      <c r="LN9" s="27"/>
      <c r="LO9" s="27"/>
    </row>
    <row r="10" spans="1:487" s="25" customFormat="1">
      <c r="B10" s="25" t="s">
        <v>10</v>
      </c>
      <c r="C10" s="25">
        <v>0.41000000000000003</v>
      </c>
      <c r="D10" s="25">
        <v>0.81</v>
      </c>
      <c r="E10" s="25">
        <v>0.81</v>
      </c>
      <c r="F10" s="25">
        <v>0.41000000000000003</v>
      </c>
      <c r="LA10" s="27"/>
      <c r="LB10" s="27"/>
      <c r="LC10" s="27"/>
      <c r="LD10" s="27"/>
      <c r="LE10" s="27"/>
      <c r="LF10" s="27"/>
      <c r="LG10" s="27"/>
      <c r="LH10" s="27"/>
      <c r="LI10" s="27"/>
      <c r="LJ10" s="27"/>
      <c r="LK10" s="27"/>
      <c r="LL10" s="27"/>
      <c r="LM10" s="27"/>
      <c r="LN10" s="27"/>
      <c r="LO10" s="27"/>
    </row>
    <row r="11" spans="1:487" s="25" customFormat="1">
      <c r="B11" s="25" t="s">
        <v>283</v>
      </c>
      <c r="C11" s="25">
        <v>1.5</v>
      </c>
      <c r="D11" s="25">
        <v>3.9000000000000004</v>
      </c>
      <c r="E11" s="25">
        <v>3.9000000000000004</v>
      </c>
      <c r="F11" s="25">
        <v>1.5</v>
      </c>
      <c r="LA11" s="27"/>
      <c r="LB11" s="27"/>
      <c r="LC11" s="27"/>
      <c r="LD11" s="27"/>
      <c r="LE11" s="27"/>
      <c r="LF11" s="27"/>
      <c r="LG11" s="27"/>
      <c r="LH11" s="27"/>
      <c r="LI11" s="27"/>
      <c r="LJ11" s="27"/>
      <c r="LK11" s="27"/>
      <c r="LL11" s="27"/>
      <c r="LM11" s="27"/>
      <c r="LN11" s="27"/>
      <c r="LO11" s="27"/>
    </row>
    <row r="12" spans="1:487" s="25" customFormat="1">
      <c r="LA12" s="27"/>
      <c r="LB12" s="27"/>
      <c r="LC12" s="27"/>
      <c r="LD12" s="27"/>
      <c r="LE12" s="27"/>
      <c r="LF12" s="27"/>
      <c r="LG12" s="27"/>
      <c r="LH12" s="27"/>
      <c r="LI12" s="27"/>
      <c r="LJ12" s="27"/>
      <c r="LK12" s="27"/>
      <c r="LL12" s="27"/>
      <c r="LM12" s="27"/>
      <c r="LN12" s="27"/>
      <c r="LO12" s="27"/>
    </row>
    <row r="13" spans="1:487" s="25" customFormat="1">
      <c r="B13" s="25" t="s">
        <v>399</v>
      </c>
      <c r="C13" s="25">
        <v>13998</v>
      </c>
      <c r="D13" s="25">
        <v>16571</v>
      </c>
      <c r="E13" s="25">
        <v>16571</v>
      </c>
      <c r="F13" s="25">
        <v>19144</v>
      </c>
      <c r="H13" s="25">
        <v>66283</v>
      </c>
      <c r="LA13" s="27"/>
      <c r="LB13" s="27"/>
      <c r="LC13" s="27"/>
      <c r="LD13" s="27"/>
      <c r="LE13" s="27"/>
      <c r="LF13" s="27"/>
      <c r="LG13" s="27"/>
      <c r="LH13" s="27"/>
      <c r="LI13" s="27"/>
      <c r="LJ13" s="27"/>
      <c r="LK13" s="27"/>
      <c r="LL13" s="27"/>
      <c r="LM13" s="27"/>
      <c r="LN13" s="27"/>
      <c r="LO13" s="27"/>
    </row>
    <row r="14" spans="1:487" s="25" customFormat="1">
      <c r="B14" s="25" t="s">
        <v>401</v>
      </c>
      <c r="C14" s="25">
        <v>17627</v>
      </c>
      <c r="D14" s="25">
        <v>20867</v>
      </c>
      <c r="E14" s="25">
        <v>20867</v>
      </c>
      <c r="F14" s="25">
        <v>24107</v>
      </c>
      <c r="H14" s="25">
        <v>83468</v>
      </c>
      <c r="LA14" s="27"/>
      <c r="LB14" s="27"/>
      <c r="LC14" s="27"/>
      <c r="LD14" s="27"/>
      <c r="LE14" s="27"/>
      <c r="LF14" s="27"/>
      <c r="LG14" s="27"/>
      <c r="LH14" s="27"/>
      <c r="LI14" s="27"/>
      <c r="LJ14" s="27"/>
      <c r="LK14" s="27"/>
      <c r="LL14" s="27"/>
      <c r="LM14" s="27"/>
      <c r="LN14" s="27"/>
      <c r="LO14" s="27"/>
    </row>
    <row r="15" spans="1:487" s="25" customFormat="1">
      <c r="B15" s="25" t="s">
        <v>28</v>
      </c>
      <c r="C15" s="25">
        <v>20996</v>
      </c>
      <c r="D15" s="25">
        <v>64626</v>
      </c>
      <c r="E15" s="25">
        <v>64626</v>
      </c>
      <c r="F15" s="25">
        <v>28716</v>
      </c>
      <c r="H15" s="25">
        <v>178964</v>
      </c>
      <c r="LA15" s="27"/>
      <c r="LB15" s="27"/>
      <c r="LC15" s="27"/>
      <c r="LD15" s="27"/>
      <c r="LE15" s="27"/>
      <c r="LF15" s="27"/>
      <c r="LG15" s="27"/>
      <c r="LH15" s="27"/>
      <c r="LI15" s="27"/>
      <c r="LJ15" s="27"/>
      <c r="LK15" s="27"/>
      <c r="LL15" s="27"/>
      <c r="LM15" s="27"/>
      <c r="LN15" s="27"/>
      <c r="LO15" s="27"/>
    </row>
    <row r="16" spans="1:487" s="25" customFormat="1">
      <c r="B16" s="25" t="s">
        <v>406</v>
      </c>
      <c r="C16" s="25">
        <v>26440</v>
      </c>
      <c r="D16" s="25">
        <v>81381</v>
      </c>
      <c r="E16" s="25">
        <v>81381</v>
      </c>
      <c r="F16" s="25">
        <v>36161</v>
      </c>
      <c r="H16" s="25">
        <v>225362</v>
      </c>
      <c r="LA16" s="27"/>
      <c r="LB16" s="27"/>
      <c r="LC16" s="27"/>
      <c r="LD16" s="27"/>
      <c r="LE16" s="27"/>
      <c r="LF16" s="27"/>
      <c r="LG16" s="27"/>
      <c r="LH16" s="27"/>
      <c r="LI16" s="27"/>
      <c r="LJ16" s="27"/>
      <c r="LK16" s="27"/>
      <c r="LL16" s="27"/>
      <c r="LM16" s="27"/>
      <c r="LN16" s="27"/>
      <c r="LO16" s="27"/>
    </row>
    <row r="17" spans="2:327" s="25" customFormat="1">
      <c r="B17" s="25" t="s">
        <v>29</v>
      </c>
      <c r="C17" s="25">
        <v>19054</v>
      </c>
      <c r="D17" s="25">
        <v>62689</v>
      </c>
      <c r="E17" s="25">
        <v>62689</v>
      </c>
      <c r="F17" s="25">
        <v>26059</v>
      </c>
      <c r="H17" s="25">
        <v>170491</v>
      </c>
      <c r="LA17" s="27"/>
      <c r="LB17" s="27"/>
      <c r="LC17" s="27"/>
      <c r="LD17" s="27"/>
      <c r="LE17" s="27"/>
      <c r="LF17" s="27"/>
      <c r="LG17" s="27"/>
      <c r="LH17" s="27"/>
      <c r="LI17" s="27"/>
      <c r="LJ17" s="27"/>
      <c r="LK17" s="27"/>
      <c r="LL17" s="27"/>
      <c r="LM17" s="27"/>
      <c r="LN17" s="27"/>
      <c r="LO17" s="27"/>
    </row>
    <row r="18" spans="2:327" s="25" customFormat="1">
      <c r="LA18" s="27"/>
      <c r="LB18" s="27"/>
      <c r="LC18" s="27"/>
      <c r="LD18" s="27"/>
      <c r="LE18" s="27"/>
      <c r="LF18" s="27"/>
      <c r="LG18" s="27"/>
      <c r="LH18" s="27"/>
      <c r="LI18" s="27"/>
      <c r="LJ18" s="27"/>
      <c r="LK18" s="27"/>
      <c r="LL18" s="27"/>
      <c r="LM18" s="27"/>
      <c r="LN18" s="27"/>
      <c r="LO18" s="27"/>
    </row>
    <row r="19" spans="2:327" s="25" customFormat="1">
      <c r="B19" s="25" t="s">
        <v>377</v>
      </c>
      <c r="C19" s="25">
        <v>55602</v>
      </c>
      <c r="D19" s="25">
        <v>157202</v>
      </c>
      <c r="E19" s="25">
        <v>81381</v>
      </c>
      <c r="F19" s="25">
        <v>0</v>
      </c>
      <c r="H19" s="25">
        <v>294184</v>
      </c>
      <c r="LA19" s="27"/>
      <c r="LB19" s="27"/>
      <c r="LC19" s="27"/>
      <c r="LD19" s="27"/>
      <c r="LE19" s="27"/>
      <c r="LF19" s="27"/>
      <c r="LG19" s="27"/>
      <c r="LH19" s="27"/>
      <c r="LI19" s="27"/>
      <c r="LJ19" s="27"/>
      <c r="LK19" s="27"/>
      <c r="LL19" s="27"/>
      <c r="LM19" s="27"/>
      <c r="LN19" s="27"/>
      <c r="LO19" s="27"/>
    </row>
    <row r="20" spans="2:327" s="25" customFormat="1">
      <c r="B20" s="25" t="s">
        <v>367</v>
      </c>
      <c r="C20" s="25">
        <v>40069</v>
      </c>
      <c r="D20" s="25">
        <v>121096</v>
      </c>
      <c r="E20" s="25">
        <v>62689</v>
      </c>
      <c r="F20" s="25">
        <v>0</v>
      </c>
      <c r="H20" s="25">
        <v>223854</v>
      </c>
      <c r="LA20" s="27"/>
      <c r="LB20" s="27"/>
      <c r="LC20" s="27"/>
      <c r="LD20" s="27"/>
      <c r="LE20" s="27"/>
      <c r="LF20" s="27"/>
      <c r="LG20" s="27"/>
      <c r="LH20" s="27"/>
      <c r="LI20" s="27"/>
      <c r="LJ20" s="27"/>
      <c r="LK20" s="27"/>
      <c r="LL20" s="27"/>
      <c r="LM20" s="27"/>
      <c r="LN20" s="27"/>
      <c r="LO20" s="27"/>
    </row>
    <row r="21" spans="2:327" s="25" customFormat="1">
      <c r="LA21" s="27"/>
      <c r="LB21" s="27"/>
      <c r="LC21" s="27"/>
      <c r="LD21" s="27"/>
      <c r="LE21" s="27"/>
      <c r="LF21" s="27"/>
      <c r="LG21" s="27"/>
      <c r="LH21" s="27"/>
      <c r="LI21" s="27"/>
      <c r="LJ21" s="27"/>
      <c r="LK21" s="27"/>
      <c r="LL21" s="27"/>
      <c r="LM21" s="27"/>
      <c r="LN21" s="27"/>
      <c r="LO21" s="27"/>
    </row>
    <row r="22" spans="2:327" s="25" customFormat="1">
      <c r="B22" s="25" t="s">
        <v>379</v>
      </c>
      <c r="C22" s="25">
        <v>75043</v>
      </c>
      <c r="D22" s="25">
        <v>207749</v>
      </c>
      <c r="E22" s="25">
        <v>81381</v>
      </c>
      <c r="F22" s="25">
        <v>0</v>
      </c>
      <c r="H22" s="25">
        <v>364173</v>
      </c>
      <c r="LA22" s="27"/>
      <c r="LB22" s="27"/>
      <c r="LC22" s="27"/>
      <c r="LD22" s="27"/>
      <c r="LE22" s="27"/>
      <c r="LF22" s="27"/>
      <c r="LG22" s="27"/>
      <c r="LH22" s="27"/>
      <c r="LI22" s="27"/>
      <c r="LJ22" s="27"/>
      <c r="LK22" s="27"/>
      <c r="LL22" s="27"/>
      <c r="LM22" s="27"/>
      <c r="LN22" s="27"/>
      <c r="LO22" s="27"/>
    </row>
    <row r="23" spans="2:327" s="25" customFormat="1">
      <c r="B23" s="25" t="s">
        <v>373</v>
      </c>
      <c r="C23" s="25">
        <v>54079</v>
      </c>
      <c r="D23" s="25">
        <v>160033</v>
      </c>
      <c r="E23" s="25">
        <v>62689</v>
      </c>
      <c r="F23" s="25">
        <v>0</v>
      </c>
      <c r="H23" s="25">
        <v>276801</v>
      </c>
      <c r="LA23" s="27"/>
      <c r="LB23" s="27"/>
      <c r="LC23" s="27"/>
      <c r="LD23" s="27"/>
      <c r="LE23" s="27"/>
      <c r="LF23" s="27"/>
      <c r="LG23" s="27"/>
      <c r="LH23" s="27"/>
      <c r="LI23" s="27"/>
      <c r="LJ23" s="27"/>
      <c r="LK23" s="27"/>
      <c r="LL23" s="27"/>
      <c r="LM23" s="27"/>
      <c r="LN23" s="27"/>
      <c r="LO23" s="27"/>
    </row>
    <row r="24" spans="2:327" s="25" customFormat="1">
      <c r="LA24" s="27"/>
      <c r="LB24" s="27"/>
      <c r="LC24" s="27"/>
      <c r="LD24" s="27"/>
      <c r="LE24" s="27"/>
      <c r="LF24" s="27"/>
      <c r="LG24" s="27"/>
      <c r="LH24" s="27"/>
      <c r="LI24" s="27"/>
      <c r="LJ24" s="27"/>
      <c r="LK24" s="27"/>
      <c r="LL24" s="27"/>
      <c r="LM24" s="27"/>
      <c r="LN24" s="27"/>
      <c r="LO24" s="27"/>
    </row>
    <row r="25" spans="2:327" s="25" customFormat="1">
      <c r="B25" s="25" t="s">
        <v>381</v>
      </c>
      <c r="C25" s="25">
        <v>94484</v>
      </c>
      <c r="D25" s="25">
        <v>258296</v>
      </c>
      <c r="E25" s="25">
        <v>81381</v>
      </c>
      <c r="F25" s="25">
        <v>0</v>
      </c>
      <c r="H25" s="25">
        <v>434161</v>
      </c>
      <c r="LA25" s="27"/>
      <c r="LB25" s="27"/>
      <c r="LC25" s="27"/>
      <c r="LD25" s="27"/>
      <c r="LE25" s="27"/>
      <c r="LF25" s="27"/>
      <c r="LG25" s="27"/>
      <c r="LH25" s="27"/>
      <c r="LI25" s="27"/>
      <c r="LJ25" s="27"/>
      <c r="LK25" s="27"/>
      <c r="LL25" s="27"/>
      <c r="LM25" s="27"/>
      <c r="LN25" s="27"/>
      <c r="LO25" s="27"/>
    </row>
    <row r="26" spans="2:327" s="25" customFormat="1">
      <c r="B26" s="25" t="s">
        <v>375</v>
      </c>
      <c r="C26" s="25">
        <v>68089</v>
      </c>
      <c r="D26" s="25">
        <v>198971</v>
      </c>
      <c r="E26" s="25">
        <v>62689</v>
      </c>
      <c r="F26" s="25">
        <v>0</v>
      </c>
      <c r="H26" s="25">
        <v>329749</v>
      </c>
      <c r="LA26" s="27"/>
      <c r="LB26" s="27"/>
      <c r="LC26" s="27"/>
      <c r="LD26" s="27"/>
      <c r="LE26" s="27"/>
      <c r="LF26" s="27"/>
      <c r="LG26" s="27"/>
      <c r="LH26" s="27"/>
      <c r="LI26" s="27"/>
      <c r="LJ26" s="27"/>
      <c r="LK26" s="27"/>
      <c r="LL26" s="27"/>
      <c r="LM26" s="27"/>
      <c r="LN26" s="27"/>
      <c r="LO26" s="27"/>
    </row>
    <row r="27" spans="2:327" s="25" customFormat="1">
      <c r="LA27" s="27"/>
      <c r="LB27" s="27"/>
      <c r="LC27" s="27"/>
      <c r="LD27" s="27"/>
      <c r="LE27" s="27"/>
      <c r="LF27" s="27"/>
      <c r="LG27" s="27"/>
      <c r="LH27" s="27"/>
      <c r="LI27" s="27"/>
      <c r="LJ27" s="27"/>
      <c r="LK27" s="27"/>
      <c r="LL27" s="27"/>
      <c r="LM27" s="27"/>
      <c r="LN27" s="27"/>
      <c r="LO27" s="27"/>
    </row>
    <row r="28" spans="2:327" s="25" customFormat="1">
      <c r="LA28" s="27"/>
      <c r="LB28" s="27"/>
      <c r="LC28" s="27"/>
      <c r="LD28" s="27"/>
      <c r="LE28" s="27"/>
      <c r="LF28" s="27"/>
      <c r="LG28" s="27"/>
      <c r="LH28" s="27"/>
      <c r="LI28" s="27"/>
      <c r="LJ28" s="27"/>
      <c r="LK28" s="27"/>
      <c r="LL28" s="27"/>
      <c r="LM28" s="27"/>
      <c r="LN28" s="27"/>
      <c r="LO28" s="27"/>
    </row>
    <row r="29" spans="2:327" s="25" customFormat="1">
      <c r="LA29" s="27"/>
      <c r="LB29" s="27"/>
      <c r="LC29" s="27"/>
      <c r="LD29" s="27"/>
      <c r="LE29" s="27"/>
      <c r="LF29" s="27"/>
      <c r="LG29" s="27"/>
      <c r="LH29" s="27"/>
      <c r="LI29" s="27"/>
      <c r="LJ29" s="27"/>
      <c r="LK29" s="27"/>
      <c r="LL29" s="27"/>
      <c r="LM29" s="27"/>
      <c r="LN29" s="27"/>
      <c r="LO29" s="27"/>
    </row>
    <row r="30" spans="2:327" s="25" customFormat="1">
      <c r="LA30" s="27"/>
      <c r="LB30" s="27"/>
      <c r="LC30" s="27"/>
      <c r="LD30" s="27"/>
      <c r="LE30" s="27"/>
      <c r="LF30" s="27"/>
      <c r="LG30" s="27"/>
      <c r="LH30" s="27"/>
      <c r="LI30" s="27"/>
      <c r="LJ30" s="27"/>
      <c r="LK30" s="27"/>
      <c r="LL30" s="27"/>
      <c r="LM30" s="27"/>
      <c r="LN30" s="27"/>
      <c r="LO30" s="27"/>
    </row>
    <row r="31" spans="2:327" s="25" customFormat="1">
      <c r="LA31" s="27"/>
      <c r="LB31" s="27"/>
      <c r="LC31" s="27"/>
      <c r="LD31" s="27"/>
      <c r="LE31" s="27"/>
      <c r="LF31" s="27"/>
      <c r="LG31" s="27"/>
      <c r="LH31" s="27"/>
      <c r="LI31" s="27"/>
      <c r="LJ31" s="27"/>
      <c r="LK31" s="27"/>
      <c r="LL31" s="27"/>
      <c r="LM31" s="27"/>
      <c r="LN31" s="27"/>
      <c r="LO31" s="27"/>
    </row>
    <row r="32" spans="2:327" s="25" customFormat="1">
      <c r="LA32" s="27"/>
      <c r="LB32" s="27"/>
      <c r="LC32" s="27"/>
      <c r="LD32" s="27"/>
      <c r="LE32" s="27"/>
      <c r="LF32" s="27"/>
      <c r="LG32" s="27"/>
      <c r="LH32" s="27"/>
      <c r="LI32" s="27"/>
      <c r="LJ32" s="27"/>
      <c r="LK32" s="27"/>
      <c r="LL32" s="27"/>
      <c r="LM32" s="27"/>
      <c r="LN32" s="27"/>
      <c r="LO32" s="27"/>
    </row>
    <row r="33" spans="1:383" s="25" customFormat="1">
      <c r="LA33" s="27"/>
      <c r="LB33" s="27"/>
      <c r="LC33" s="27"/>
      <c r="LD33" s="27"/>
      <c r="LE33" s="27"/>
      <c r="LF33" s="27"/>
      <c r="LG33" s="27"/>
      <c r="LH33" s="27"/>
      <c r="LI33" s="27"/>
      <c r="LJ33" s="27"/>
      <c r="LK33" s="27"/>
      <c r="LL33" s="27"/>
      <c r="LM33" s="27"/>
      <c r="LN33" s="27"/>
      <c r="LO33" s="27"/>
    </row>
    <row r="34" spans="1:383" s="25" customFormat="1">
      <c r="LA34" s="27"/>
      <c r="LB34" s="27"/>
      <c r="LC34" s="27"/>
      <c r="LD34" s="27"/>
      <c r="LE34" s="27"/>
      <c r="LF34" s="27"/>
      <c r="LG34" s="27"/>
      <c r="LH34" s="27"/>
      <c r="LI34" s="27"/>
      <c r="LJ34" s="27"/>
      <c r="LK34" s="27"/>
      <c r="LL34" s="27"/>
      <c r="LM34" s="27"/>
      <c r="LN34" s="27"/>
      <c r="LO34" s="27"/>
    </row>
    <row r="35" spans="1:383" s="25" customFormat="1">
      <c r="NE35" s="27"/>
      <c r="NF35" s="27"/>
      <c r="NG35" s="27"/>
      <c r="NH35" s="27"/>
      <c r="NI35" s="27"/>
      <c r="NJ35" s="27"/>
      <c r="NK35" s="27"/>
      <c r="NL35" s="27"/>
      <c r="NM35" s="27"/>
      <c r="NN35" s="27"/>
      <c r="NO35" s="27"/>
      <c r="NP35" s="27"/>
      <c r="NQ35" s="27"/>
      <c r="NR35" s="27"/>
      <c r="NS35" s="27"/>
    </row>
    <row r="36" spans="1:383">
      <c r="A36" s="25"/>
      <c r="B36" s="25"/>
      <c r="C36" s="25"/>
      <c r="D36" s="25"/>
      <c r="E36" s="25"/>
      <c r="F36" s="25"/>
      <c r="G36" s="25"/>
      <c r="H36" s="25"/>
    </row>
    <row r="37" spans="1:383">
      <c r="A37" s="25"/>
      <c r="B37" s="25"/>
      <c r="C37" s="25"/>
      <c r="D37" s="25"/>
      <c r="E37" s="25"/>
      <c r="F37" s="25"/>
      <c r="G37" s="25"/>
      <c r="H37" s="25"/>
    </row>
    <row r="38" spans="1:383">
      <c r="A38" s="25"/>
      <c r="B38" s="25"/>
      <c r="C38" s="25"/>
      <c r="D38" s="25"/>
      <c r="E38" s="25"/>
      <c r="F38" s="25"/>
      <c r="G38" s="25"/>
      <c r="H38" s="25"/>
    </row>
    <row r="39" spans="1:383">
      <c r="A39" s="25"/>
      <c r="B39" s="25"/>
      <c r="C39" s="25"/>
      <c r="D39" s="25"/>
      <c r="E39" s="25"/>
      <c r="F39" s="25"/>
      <c r="G39" s="25"/>
      <c r="H39" s="25"/>
    </row>
    <row r="40" spans="1:383">
      <c r="A40" s="25"/>
      <c r="B40" s="25"/>
      <c r="C40" s="25"/>
      <c r="D40" s="25"/>
      <c r="E40" s="25"/>
      <c r="F40" s="25"/>
      <c r="G40" s="25"/>
      <c r="H40" s="25"/>
    </row>
    <row r="41" spans="1:383">
      <c r="A41" s="25"/>
      <c r="B41" s="25"/>
      <c r="C41" s="25"/>
      <c r="D41" s="25"/>
      <c r="E41" s="25"/>
      <c r="F41" s="25"/>
      <c r="G41" s="25"/>
      <c r="H41" s="25"/>
    </row>
    <row r="42" spans="1:383">
      <c r="A42" s="25"/>
      <c r="B42" s="25"/>
      <c r="C42" s="25"/>
      <c r="D42" s="25"/>
      <c r="E42" s="25"/>
      <c r="F42" s="25"/>
      <c r="G42" s="25"/>
      <c r="H42" s="25"/>
    </row>
    <row r="43" spans="1:383">
      <c r="A43" s="25"/>
      <c r="B43" s="25"/>
      <c r="C43" s="25"/>
      <c r="D43" s="25"/>
      <c r="E43" s="25"/>
      <c r="F43" s="25"/>
      <c r="G43" s="25"/>
      <c r="H43" s="25"/>
    </row>
    <row r="44" spans="1:383">
      <c r="A44" s="25"/>
      <c r="B44" s="25"/>
      <c r="C44" s="25"/>
      <c r="D44" s="25"/>
      <c r="E44" s="25"/>
      <c r="F44" s="25"/>
      <c r="G44" s="25"/>
      <c r="H44" s="25"/>
    </row>
    <row r="45" spans="1:383">
      <c r="A45" s="25"/>
      <c r="B45" s="25"/>
      <c r="C45" s="25"/>
      <c r="D45" s="25"/>
      <c r="E45" s="25"/>
      <c r="F45" s="25"/>
      <c r="G45" s="25"/>
      <c r="H45" s="25"/>
    </row>
    <row r="46" spans="1:383">
      <c r="A46" s="25"/>
      <c r="B46" s="25"/>
      <c r="C46" s="25"/>
      <c r="D46" s="25"/>
      <c r="E46" s="25"/>
      <c r="F46" s="25"/>
      <c r="G46" s="25"/>
      <c r="H46" s="25"/>
    </row>
    <row r="47" spans="1:383">
      <c r="A47" s="25"/>
      <c r="B47" s="25"/>
      <c r="C47" s="25"/>
      <c r="D47" s="25"/>
      <c r="E47" s="25"/>
      <c r="F47" s="25"/>
      <c r="G47" s="25"/>
      <c r="H47" s="25"/>
    </row>
    <row r="48" spans="1:383">
      <c r="A48" s="25"/>
      <c r="B48" s="25"/>
      <c r="C48" s="25"/>
      <c r="D48" s="25"/>
      <c r="E48" s="25"/>
      <c r="F48" s="25"/>
      <c r="G48" s="25"/>
      <c r="H48" s="25"/>
    </row>
    <row r="49" spans="1:8">
      <c r="A49" s="25"/>
      <c r="B49" s="25"/>
      <c r="C49" s="25"/>
      <c r="D49" s="25"/>
      <c r="E49" s="25"/>
      <c r="F49" s="25"/>
      <c r="G49" s="25"/>
      <c r="H49" s="25"/>
    </row>
    <row r="50" spans="1:8">
      <c r="A50" s="25"/>
      <c r="B50" s="25"/>
      <c r="C50" s="25"/>
      <c r="D50" s="25"/>
      <c r="E50" s="25"/>
      <c r="F50" s="25"/>
      <c r="G50" s="25"/>
      <c r="H50" s="25"/>
    </row>
    <row r="51" spans="1:8">
      <c r="A51" s="25"/>
      <c r="B51" s="25"/>
      <c r="C51" s="25"/>
      <c r="D51" s="25"/>
      <c r="E51" s="25"/>
      <c r="F51" s="25"/>
      <c r="G51" s="25"/>
      <c r="H51" s="25"/>
    </row>
    <row r="52" spans="1:8">
      <c r="A52" s="25"/>
      <c r="B52" s="25"/>
      <c r="C52" s="25"/>
      <c r="D52" s="25"/>
      <c r="E52" s="25"/>
      <c r="F52" s="25"/>
      <c r="G52" s="25"/>
      <c r="H52" s="25"/>
    </row>
    <row r="53" spans="1:8">
      <c r="A53" s="25"/>
      <c r="B53" s="25"/>
      <c r="C53" s="25"/>
      <c r="D53" s="25"/>
      <c r="E53" s="25"/>
      <c r="F53" s="25"/>
      <c r="G53" s="25"/>
      <c r="H53" s="25"/>
    </row>
    <row r="54" spans="1:8">
      <c r="A54" s="25"/>
      <c r="B54" s="25"/>
      <c r="C54" s="25"/>
      <c r="D54" s="25"/>
      <c r="E54" s="25"/>
      <c r="F54" s="25"/>
      <c r="G54" s="25"/>
      <c r="H54" s="25"/>
    </row>
  </sheetData>
  <protectedRanges>
    <protectedRange sqref="B3:I3" name="範圍1_1"/>
  </protectedRanges>
  <phoneticPr fontId="1" type="noConversion"/>
  <dataValidations count="1">
    <dataValidation type="list" allowBlank="1" showInputMessage="1" showErrorMessage="1" sqref="B3:F3">
      <formula1>護符</formula1>
    </dataValidation>
  </dataValidations>
  <pageMargins left="0.7" right="0.7" top="0.75" bottom="0.75" header="0.3" footer="0.3"/>
  <pageSetup paperSize="9" orientation="portrait" horizontalDpi="3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L54"/>
  <sheetViews>
    <sheetView workbookViewId="0">
      <pane ySplit="3" topLeftCell="A4" activePane="bottomLeft" state="frozen"/>
      <selection pane="bottomLeft" activeCell="I10" sqref="I10"/>
    </sheetView>
  </sheetViews>
  <sheetFormatPr defaultRowHeight="15.5"/>
  <cols>
    <col min="1" max="1" width="15" style="1" customWidth="1"/>
    <col min="2" max="2" width="22.54296875" style="25" customWidth="1"/>
    <col min="3" max="3" width="16.26953125" style="1" customWidth="1"/>
    <col min="4" max="4" width="19.1796875" style="1" customWidth="1"/>
    <col min="5" max="5" width="15.08984375" style="1" customWidth="1"/>
    <col min="6" max="6" width="19.81640625" style="1" customWidth="1"/>
    <col min="7" max="7" width="14.1796875" style="1" customWidth="1"/>
    <col min="8" max="8" width="12.453125" style="1" customWidth="1"/>
    <col min="9" max="9" width="13" style="1" customWidth="1"/>
    <col min="10" max="10" width="11.54296875" style="1" customWidth="1"/>
    <col min="11" max="11" width="9.90625" style="1" customWidth="1"/>
    <col min="12" max="12" width="10.08984375" style="1" customWidth="1"/>
    <col min="13" max="13" width="8.90625" style="1" customWidth="1"/>
    <col min="14" max="14" width="10.6328125" style="1" customWidth="1"/>
    <col min="15" max="16" width="8.7265625" style="1"/>
    <col min="17" max="17" width="19.453125" style="1" customWidth="1"/>
    <col min="18" max="16384" width="8.7265625" style="1"/>
  </cols>
  <sheetData>
    <row r="1" spans="1:12" s="6" customFormat="1" ht="30" customHeight="1">
      <c r="A1" s="7">
        <v>1</v>
      </c>
      <c r="B1" s="23" t="s">
        <v>386</v>
      </c>
      <c r="C1" s="23">
        <v>1</v>
      </c>
      <c r="D1" s="22" t="s">
        <v>387</v>
      </c>
      <c r="E1" s="22">
        <v>1</v>
      </c>
      <c r="F1" s="24" t="s">
        <v>388</v>
      </c>
      <c r="G1" s="24">
        <v>1</v>
      </c>
      <c r="H1" s="26" t="s">
        <v>417</v>
      </c>
      <c r="I1" s="26">
        <v>1</v>
      </c>
    </row>
    <row r="2" spans="1:12" ht="42" customHeight="1">
      <c r="A2" s="25" t="s">
        <v>418</v>
      </c>
      <c r="B2" s="10" t="s">
        <v>389</v>
      </c>
      <c r="C2" s="10" t="s">
        <v>390</v>
      </c>
      <c r="D2" s="10" t="s">
        <v>391</v>
      </c>
      <c r="E2" s="10" t="s">
        <v>392</v>
      </c>
      <c r="F2" s="10" t="s">
        <v>393</v>
      </c>
      <c r="G2" s="10" t="s">
        <v>394</v>
      </c>
      <c r="H2" s="10" t="s">
        <v>395</v>
      </c>
      <c r="I2" s="10" t="s">
        <v>396</v>
      </c>
      <c r="J2" s="6"/>
    </row>
    <row r="3" spans="1:12" s="25" customFormat="1" ht="38.5" customHeight="1">
      <c r="A3" s="5"/>
      <c r="B3" s="8" t="s">
        <v>383</v>
      </c>
      <c r="C3" s="8" t="s">
        <v>383</v>
      </c>
      <c r="D3" s="8" t="s">
        <v>384</v>
      </c>
      <c r="E3" s="8" t="s">
        <v>385</v>
      </c>
      <c r="F3" s="8" t="s">
        <v>383</v>
      </c>
      <c r="G3" s="9">
        <v>7624</v>
      </c>
      <c r="H3" s="9">
        <v>0.36</v>
      </c>
      <c r="I3" s="9">
        <v>0.24</v>
      </c>
      <c r="L3" s="4"/>
    </row>
    <row r="4" spans="1:12">
      <c r="A4" s="25"/>
      <c r="B4" s="25" t="s">
        <v>19</v>
      </c>
      <c r="C4" s="25">
        <v>0.4</v>
      </c>
      <c r="D4" s="25" t="s">
        <v>8</v>
      </c>
      <c r="E4" s="25">
        <v>0.5</v>
      </c>
      <c r="F4" s="25" t="s">
        <v>229</v>
      </c>
      <c r="G4" s="25">
        <v>0</v>
      </c>
      <c r="H4" s="25"/>
    </row>
    <row r="5" spans="1:12" s="25" customFormat="1">
      <c r="B5" s="25" t="s">
        <v>17</v>
      </c>
      <c r="C5" s="25">
        <v>2.4000000000000004</v>
      </c>
      <c r="D5" s="25" t="s">
        <v>9</v>
      </c>
      <c r="E5" s="25">
        <v>0</v>
      </c>
      <c r="F5" s="25" t="s">
        <v>223</v>
      </c>
      <c r="G5" s="25">
        <v>0</v>
      </c>
    </row>
    <row r="6" spans="1:12" s="25" customFormat="1">
      <c r="B6" s="25" t="s">
        <v>20</v>
      </c>
      <c r="C6" s="25">
        <v>0</v>
      </c>
      <c r="D6" s="25" t="s">
        <v>227</v>
      </c>
      <c r="E6" s="25">
        <v>0</v>
      </c>
      <c r="F6" s="25" t="s">
        <v>231</v>
      </c>
      <c r="G6" s="25">
        <v>0</v>
      </c>
    </row>
    <row r="7" spans="1:12" s="25" customFormat="1">
      <c r="B7" s="25" t="s">
        <v>18</v>
      </c>
      <c r="C7" s="25">
        <v>0</v>
      </c>
      <c r="D7" s="25" t="s">
        <v>221</v>
      </c>
      <c r="E7" s="25">
        <v>0</v>
      </c>
      <c r="F7" s="25" t="s">
        <v>225</v>
      </c>
      <c r="G7" s="25">
        <v>0</v>
      </c>
    </row>
    <row r="8" spans="1:12" s="25" customFormat="1"/>
    <row r="9" spans="1:12" s="25" customFormat="1">
      <c r="C9" s="25" t="s">
        <v>74</v>
      </c>
      <c r="D9" s="25" t="s">
        <v>76</v>
      </c>
      <c r="E9" s="25" t="s">
        <v>78</v>
      </c>
      <c r="F9" s="25" t="s">
        <v>80</v>
      </c>
      <c r="H9" s="25" t="s">
        <v>11</v>
      </c>
    </row>
    <row r="10" spans="1:12" s="25" customFormat="1">
      <c r="B10" s="25" t="s">
        <v>10</v>
      </c>
      <c r="C10" s="25">
        <v>0.41000000000000003</v>
      </c>
      <c r="D10" s="25">
        <v>0.81</v>
      </c>
      <c r="E10" s="25">
        <v>0.81</v>
      </c>
      <c r="F10" s="25">
        <v>0.41000000000000003</v>
      </c>
    </row>
    <row r="11" spans="1:12" s="25" customFormat="1">
      <c r="B11" s="25" t="s">
        <v>283</v>
      </c>
      <c r="C11" s="25">
        <v>1.5</v>
      </c>
      <c r="D11" s="25">
        <v>3.9000000000000004</v>
      </c>
      <c r="E11" s="25">
        <v>3.9000000000000004</v>
      </c>
      <c r="F11" s="25">
        <v>1.5</v>
      </c>
    </row>
    <row r="12" spans="1:12" s="25" customFormat="1"/>
    <row r="13" spans="1:12" s="25" customFormat="1">
      <c r="B13" s="25" t="s">
        <v>399</v>
      </c>
      <c r="C13" s="25">
        <v>10369</v>
      </c>
      <c r="D13" s="25">
        <v>12275</v>
      </c>
      <c r="E13" s="25">
        <v>12275</v>
      </c>
      <c r="F13" s="25">
        <v>14181</v>
      </c>
      <c r="H13" s="25">
        <v>49099</v>
      </c>
    </row>
    <row r="14" spans="1:12" s="25" customFormat="1">
      <c r="B14" s="25" t="s">
        <v>401</v>
      </c>
      <c r="C14" s="25">
        <v>13998</v>
      </c>
      <c r="D14" s="25">
        <v>16571</v>
      </c>
      <c r="E14" s="25">
        <v>16571</v>
      </c>
      <c r="F14" s="25">
        <v>19144</v>
      </c>
      <c r="H14" s="25">
        <v>66283</v>
      </c>
    </row>
    <row r="15" spans="1:12" s="25" customFormat="1">
      <c r="B15" s="25" t="s">
        <v>28</v>
      </c>
      <c r="C15" s="25">
        <v>15553</v>
      </c>
      <c r="D15" s="25">
        <v>47871</v>
      </c>
      <c r="E15" s="25">
        <v>47871</v>
      </c>
      <c r="F15" s="25">
        <v>21271</v>
      </c>
      <c r="H15" s="25">
        <v>132566</v>
      </c>
    </row>
    <row r="16" spans="1:12" s="25" customFormat="1">
      <c r="B16" s="25" t="s">
        <v>406</v>
      </c>
      <c r="C16" s="25">
        <v>20996</v>
      </c>
      <c r="D16" s="25">
        <v>64626</v>
      </c>
      <c r="E16" s="25">
        <v>64626</v>
      </c>
      <c r="F16" s="25">
        <v>28716</v>
      </c>
      <c r="H16" s="25">
        <v>178964</v>
      </c>
    </row>
    <row r="17" spans="2:8" s="25" customFormat="1">
      <c r="B17" s="25" t="s">
        <v>29</v>
      </c>
      <c r="C17" s="25">
        <v>14681</v>
      </c>
      <c r="D17" s="25">
        <v>48302</v>
      </c>
      <c r="E17" s="25">
        <v>48302</v>
      </c>
      <c r="F17" s="25">
        <v>20078</v>
      </c>
      <c r="H17" s="25">
        <v>131362</v>
      </c>
    </row>
    <row r="18" spans="2:8" s="25" customFormat="1"/>
    <row r="19" spans="2:8" s="25" customFormat="1">
      <c r="B19" s="25" t="s">
        <v>377</v>
      </c>
      <c r="C19" s="25">
        <v>44154</v>
      </c>
      <c r="D19" s="25">
        <v>124837</v>
      </c>
      <c r="E19" s="25">
        <v>64626</v>
      </c>
      <c r="F19" s="25">
        <v>0</v>
      </c>
      <c r="H19" s="25">
        <v>233617</v>
      </c>
    </row>
    <row r="20" spans="2:8" s="25" customFormat="1">
      <c r="B20" s="25" t="s">
        <v>367</v>
      </c>
      <c r="C20" s="25">
        <v>30873</v>
      </c>
      <c r="D20" s="25">
        <v>93303</v>
      </c>
      <c r="E20" s="25">
        <v>48302</v>
      </c>
      <c r="F20" s="25">
        <v>0</v>
      </c>
      <c r="H20" s="25">
        <v>172477</v>
      </c>
    </row>
    <row r="21" spans="2:8" s="25" customFormat="1"/>
    <row r="22" spans="2:8" s="25" customFormat="1">
      <c r="B22" s="25" t="s">
        <v>379</v>
      </c>
      <c r="C22" s="25">
        <v>59593</v>
      </c>
      <c r="D22" s="25">
        <v>164977</v>
      </c>
      <c r="E22" s="25">
        <v>64626</v>
      </c>
      <c r="F22" s="25">
        <v>0</v>
      </c>
      <c r="H22" s="25">
        <v>289196</v>
      </c>
    </row>
    <row r="23" spans="2:8" s="25" customFormat="1">
      <c r="B23" s="25" t="s">
        <v>373</v>
      </c>
      <c r="C23" s="25">
        <v>41667</v>
      </c>
      <c r="D23" s="25">
        <v>123304</v>
      </c>
      <c r="E23" s="25">
        <v>48302</v>
      </c>
      <c r="F23" s="25">
        <v>0</v>
      </c>
      <c r="H23" s="25">
        <v>213273</v>
      </c>
    </row>
    <row r="24" spans="2:8" s="25" customFormat="1"/>
    <row r="25" spans="2:8" s="25" customFormat="1">
      <c r="B25" s="25" t="s">
        <v>381</v>
      </c>
      <c r="C25" s="25">
        <v>75032</v>
      </c>
      <c r="D25" s="25">
        <v>205117</v>
      </c>
      <c r="E25" s="25">
        <v>64626</v>
      </c>
      <c r="F25" s="25">
        <v>0</v>
      </c>
      <c r="H25" s="25">
        <v>344775</v>
      </c>
    </row>
    <row r="26" spans="2:8" s="25" customFormat="1">
      <c r="B26" s="25" t="s">
        <v>375</v>
      </c>
      <c r="C26" s="25">
        <v>52462</v>
      </c>
      <c r="D26" s="25">
        <v>153305</v>
      </c>
      <c r="E26" s="25">
        <v>48302</v>
      </c>
      <c r="F26" s="25">
        <v>0</v>
      </c>
      <c r="H26" s="25">
        <v>254069</v>
      </c>
    </row>
    <row r="27" spans="2:8" s="25" customFormat="1"/>
    <row r="28" spans="2:8" s="25" customFormat="1"/>
    <row r="29" spans="2:8" s="25" customFormat="1"/>
    <row r="30" spans="2:8" s="25" customFormat="1"/>
    <row r="31" spans="2:8" s="25" customFormat="1"/>
    <row r="32" spans="2:8" s="25" customFormat="1"/>
    <row r="33" spans="1:8" s="25" customFormat="1"/>
    <row r="34" spans="1:8" s="25" customFormat="1"/>
    <row r="35" spans="1:8" s="25" customFormat="1"/>
    <row r="36" spans="1:8">
      <c r="A36" s="25"/>
      <c r="C36" s="25"/>
      <c r="D36" s="25"/>
      <c r="E36" s="25"/>
      <c r="F36" s="25"/>
      <c r="G36" s="25"/>
      <c r="H36" s="25"/>
    </row>
    <row r="37" spans="1:8">
      <c r="A37" s="25"/>
      <c r="C37" s="25"/>
      <c r="D37" s="25"/>
      <c r="E37" s="25"/>
      <c r="F37" s="25"/>
      <c r="G37" s="25"/>
      <c r="H37" s="25"/>
    </row>
    <row r="38" spans="1:8">
      <c r="A38" s="25"/>
      <c r="C38" s="25"/>
      <c r="D38" s="25"/>
      <c r="E38" s="25"/>
      <c r="F38" s="25"/>
      <c r="G38" s="25"/>
      <c r="H38" s="25"/>
    </row>
    <row r="39" spans="1:8">
      <c r="A39" s="25"/>
      <c r="C39" s="25"/>
      <c r="D39" s="25"/>
      <c r="E39" s="25"/>
      <c r="F39" s="25"/>
      <c r="G39" s="25"/>
      <c r="H39" s="25"/>
    </row>
    <row r="40" spans="1:8">
      <c r="A40" s="25"/>
      <c r="C40" s="25"/>
      <c r="D40" s="25"/>
      <c r="E40" s="25"/>
      <c r="F40" s="25"/>
      <c r="G40" s="25"/>
      <c r="H40" s="25"/>
    </row>
    <row r="41" spans="1:8">
      <c r="A41" s="25"/>
      <c r="C41" s="25"/>
      <c r="D41" s="25"/>
      <c r="E41" s="25"/>
      <c r="F41" s="25"/>
      <c r="G41" s="25"/>
      <c r="H41" s="25"/>
    </row>
    <row r="42" spans="1:8">
      <c r="A42" s="25"/>
      <c r="C42" s="25"/>
      <c r="D42" s="25"/>
      <c r="E42" s="25"/>
      <c r="F42" s="25"/>
      <c r="G42" s="25"/>
      <c r="H42" s="25"/>
    </row>
    <row r="43" spans="1:8">
      <c r="A43" s="25"/>
      <c r="C43" s="25"/>
      <c r="D43" s="25"/>
      <c r="E43" s="25"/>
      <c r="F43" s="25"/>
      <c r="G43" s="25"/>
      <c r="H43" s="25"/>
    </row>
    <row r="44" spans="1:8">
      <c r="A44" s="25"/>
      <c r="C44" s="25"/>
      <c r="D44" s="25"/>
      <c r="E44" s="25"/>
      <c r="F44" s="25"/>
      <c r="G44" s="25"/>
      <c r="H44" s="25"/>
    </row>
    <row r="45" spans="1:8">
      <c r="A45" s="25"/>
      <c r="C45" s="25"/>
      <c r="D45" s="25"/>
      <c r="E45" s="25"/>
      <c r="F45" s="25"/>
      <c r="G45" s="25"/>
      <c r="H45" s="25"/>
    </row>
    <row r="46" spans="1:8">
      <c r="A46" s="25"/>
      <c r="C46" s="25"/>
      <c r="D46" s="25"/>
      <c r="E46" s="25"/>
      <c r="F46" s="25"/>
      <c r="G46" s="25"/>
      <c r="H46" s="25"/>
    </row>
    <row r="47" spans="1:8">
      <c r="A47" s="25"/>
      <c r="C47" s="25"/>
      <c r="D47" s="25"/>
      <c r="E47" s="25"/>
      <c r="F47" s="25"/>
      <c r="G47" s="25"/>
      <c r="H47" s="25"/>
    </row>
    <row r="48" spans="1:8">
      <c r="A48" s="25"/>
      <c r="C48" s="25"/>
      <c r="D48" s="25"/>
      <c r="E48" s="25"/>
      <c r="F48" s="25"/>
      <c r="G48" s="25"/>
      <c r="H48" s="25"/>
    </row>
    <row r="49" spans="1:8">
      <c r="A49" s="25"/>
      <c r="C49" s="25"/>
      <c r="D49" s="25"/>
      <c r="E49" s="25"/>
      <c r="F49" s="25"/>
      <c r="G49" s="25"/>
      <c r="H49" s="25"/>
    </row>
    <row r="50" spans="1:8">
      <c r="A50" s="25"/>
      <c r="C50" s="25"/>
      <c r="D50" s="25"/>
      <c r="E50" s="25"/>
      <c r="F50" s="25"/>
      <c r="G50" s="25"/>
      <c r="H50" s="25"/>
    </row>
    <row r="51" spans="1:8">
      <c r="A51" s="25"/>
      <c r="C51" s="25"/>
      <c r="D51" s="25"/>
      <c r="E51" s="25"/>
      <c r="F51" s="25"/>
      <c r="G51" s="25"/>
      <c r="H51" s="25"/>
    </row>
    <row r="52" spans="1:8">
      <c r="A52" s="25"/>
      <c r="C52" s="25"/>
      <c r="D52" s="25"/>
      <c r="E52" s="25"/>
      <c r="F52" s="25"/>
      <c r="G52" s="25"/>
      <c r="H52" s="25"/>
    </row>
    <row r="53" spans="1:8">
      <c r="A53" s="25"/>
      <c r="C53" s="25"/>
      <c r="D53" s="25"/>
      <c r="E53" s="25"/>
      <c r="F53" s="25"/>
      <c r="G53" s="25"/>
      <c r="H53" s="25"/>
    </row>
    <row r="54" spans="1:8">
      <c r="A54" s="25"/>
      <c r="C54" s="25"/>
      <c r="D54" s="25"/>
      <c r="E54" s="25"/>
      <c r="F54" s="25"/>
      <c r="G54" s="25"/>
      <c r="H54" s="25"/>
    </row>
  </sheetData>
  <protectedRanges>
    <protectedRange sqref="B3:I3" name="範圍1_1"/>
  </protectedRanges>
  <phoneticPr fontId="1" type="noConversion"/>
  <dataValidations count="1">
    <dataValidation type="list" allowBlank="1" showInputMessage="1" showErrorMessage="1" sqref="B3:F3">
      <formula1>護符</formula1>
    </dataValidation>
  </dataValidations>
  <pageMargins left="0.7" right="0.7" top="0.75" bottom="0.75" header="0.3" footer="0.3"/>
  <pageSetup paperSize="9" orientation="portrait" horizontalDpi="300" verticalDpi="30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L54"/>
  <sheetViews>
    <sheetView workbookViewId="0">
      <pane ySplit="3" topLeftCell="A16" activePane="bottomLeft" state="frozen"/>
      <selection pane="bottomLeft" activeCell="J14" sqref="J14"/>
    </sheetView>
  </sheetViews>
  <sheetFormatPr defaultRowHeight="15.5"/>
  <cols>
    <col min="1" max="1" width="15" style="1" customWidth="1"/>
    <col min="2" max="2" width="22.54296875" style="25" customWidth="1"/>
    <col min="3" max="3" width="16.26953125" style="1" customWidth="1"/>
    <col min="4" max="4" width="19.1796875" style="1" customWidth="1"/>
    <col min="5" max="5" width="15.08984375" style="1" customWidth="1"/>
    <col min="6" max="6" width="19.81640625" style="1" customWidth="1"/>
    <col min="7" max="7" width="14.1796875" style="1" customWidth="1"/>
    <col min="8" max="8" width="12.453125" style="1" customWidth="1"/>
    <col min="9" max="9" width="13" style="1" customWidth="1"/>
    <col min="10" max="10" width="11.54296875" style="1" customWidth="1"/>
    <col min="11" max="11" width="9.90625" style="1" customWidth="1"/>
    <col min="12" max="12" width="10.08984375" style="1" customWidth="1"/>
    <col min="13" max="13" width="8.90625" style="1" customWidth="1"/>
    <col min="14" max="14" width="10.6328125" style="1" customWidth="1"/>
    <col min="15" max="16" width="8.7265625" style="1"/>
    <col min="17" max="17" width="19.453125" style="1" customWidth="1"/>
    <col min="18" max="16384" width="8.7265625" style="1"/>
  </cols>
  <sheetData>
    <row r="1" spans="1:12" s="6" customFormat="1" ht="30" customHeight="1">
      <c r="A1" s="7">
        <v>1</v>
      </c>
      <c r="B1" s="23" t="s">
        <v>386</v>
      </c>
      <c r="C1" s="23">
        <v>1</v>
      </c>
      <c r="D1" s="22" t="s">
        <v>387</v>
      </c>
      <c r="E1" s="22">
        <v>1</v>
      </c>
      <c r="F1" s="24" t="s">
        <v>388</v>
      </c>
      <c r="G1" s="24">
        <v>1</v>
      </c>
      <c r="H1" s="26" t="s">
        <v>417</v>
      </c>
      <c r="I1" s="26">
        <v>1</v>
      </c>
    </row>
    <row r="2" spans="1:12" ht="42" customHeight="1">
      <c r="A2" s="25" t="s">
        <v>418</v>
      </c>
      <c r="B2" s="10" t="s">
        <v>389</v>
      </c>
      <c r="C2" s="10" t="s">
        <v>390</v>
      </c>
      <c r="D2" s="10" t="s">
        <v>391</v>
      </c>
      <c r="E2" s="10" t="s">
        <v>392</v>
      </c>
      <c r="F2" s="10" t="s">
        <v>393</v>
      </c>
      <c r="G2" s="10" t="s">
        <v>394</v>
      </c>
      <c r="H2" s="10" t="s">
        <v>395</v>
      </c>
      <c r="I2" s="10" t="s">
        <v>396</v>
      </c>
      <c r="J2" s="6"/>
    </row>
    <row r="3" spans="1:12" s="25" customFormat="1" ht="38.5" customHeight="1">
      <c r="A3" s="5"/>
      <c r="B3" s="8" t="s">
        <v>383</v>
      </c>
      <c r="C3" s="8" t="s">
        <v>383</v>
      </c>
      <c r="D3" s="8" t="s">
        <v>384</v>
      </c>
      <c r="E3" s="8" t="s">
        <v>385</v>
      </c>
      <c r="F3" s="8" t="s">
        <v>383</v>
      </c>
      <c r="G3" s="9">
        <v>7624</v>
      </c>
      <c r="H3" s="9">
        <v>0.36</v>
      </c>
      <c r="I3" s="9">
        <v>0.24</v>
      </c>
      <c r="L3" s="4"/>
    </row>
    <row r="4" spans="1:12">
      <c r="A4" s="25"/>
      <c r="B4" s="25" t="s">
        <v>19</v>
      </c>
      <c r="C4" s="25">
        <v>0.4</v>
      </c>
      <c r="D4" s="25" t="s">
        <v>8</v>
      </c>
      <c r="E4" s="25">
        <v>0.5</v>
      </c>
      <c r="F4" s="25" t="s">
        <v>229</v>
      </c>
      <c r="G4" s="25">
        <v>0</v>
      </c>
      <c r="H4" s="25"/>
    </row>
    <row r="5" spans="1:12" s="25" customFormat="1">
      <c r="B5" s="25" t="s">
        <v>17</v>
      </c>
      <c r="C5" s="25">
        <v>2.4000000000000004</v>
      </c>
      <c r="D5" s="25" t="s">
        <v>9</v>
      </c>
      <c r="E5" s="25">
        <v>0</v>
      </c>
      <c r="F5" s="25" t="s">
        <v>223</v>
      </c>
      <c r="G5" s="25">
        <v>0</v>
      </c>
    </row>
    <row r="6" spans="1:12" s="25" customFormat="1">
      <c r="B6" s="25" t="s">
        <v>20</v>
      </c>
      <c r="C6" s="25">
        <v>0</v>
      </c>
      <c r="D6" s="25" t="s">
        <v>227</v>
      </c>
      <c r="E6" s="25">
        <v>0</v>
      </c>
      <c r="F6" s="25" t="s">
        <v>231</v>
      </c>
      <c r="G6" s="25">
        <v>0</v>
      </c>
    </row>
    <row r="7" spans="1:12" s="25" customFormat="1">
      <c r="B7" s="25" t="s">
        <v>18</v>
      </c>
      <c r="C7" s="25">
        <v>0</v>
      </c>
      <c r="D7" s="25" t="s">
        <v>221</v>
      </c>
      <c r="E7" s="25">
        <v>0</v>
      </c>
      <c r="F7" s="25" t="s">
        <v>225</v>
      </c>
      <c r="G7" s="25">
        <v>0</v>
      </c>
    </row>
    <row r="8" spans="1:12" s="25" customFormat="1"/>
    <row r="9" spans="1:12" s="25" customFormat="1">
      <c r="C9" s="25" t="s">
        <v>74</v>
      </c>
      <c r="D9" s="25" t="s">
        <v>76</v>
      </c>
      <c r="E9" s="25" t="s">
        <v>78</v>
      </c>
      <c r="F9" s="25" t="s">
        <v>80</v>
      </c>
      <c r="H9" s="25" t="s">
        <v>11</v>
      </c>
    </row>
    <row r="10" spans="1:12" s="25" customFormat="1">
      <c r="B10" s="25" t="s">
        <v>10</v>
      </c>
      <c r="C10" s="25">
        <v>0.41000000000000003</v>
      </c>
      <c r="D10" s="25">
        <v>0.81</v>
      </c>
      <c r="E10" s="25">
        <v>0.81</v>
      </c>
      <c r="F10" s="25">
        <v>0.41000000000000003</v>
      </c>
    </row>
    <row r="11" spans="1:12" s="25" customFormat="1">
      <c r="B11" s="25" t="s">
        <v>283</v>
      </c>
      <c r="C11" s="25">
        <v>1.5</v>
      </c>
      <c r="D11" s="25">
        <v>3.9000000000000004</v>
      </c>
      <c r="E11" s="25">
        <v>3.9000000000000004</v>
      </c>
      <c r="F11" s="25">
        <v>1.5</v>
      </c>
    </row>
    <row r="12" spans="1:12" s="25" customFormat="1"/>
    <row r="13" spans="1:12" s="25" customFormat="1">
      <c r="B13" s="25" t="s">
        <v>399</v>
      </c>
      <c r="C13" s="25">
        <v>10369</v>
      </c>
      <c r="D13" s="25">
        <v>12275</v>
      </c>
      <c r="E13" s="25">
        <v>12275</v>
      </c>
      <c r="F13" s="25">
        <v>14181</v>
      </c>
      <c r="H13" s="25">
        <v>49099</v>
      </c>
    </row>
    <row r="14" spans="1:12" s="25" customFormat="1">
      <c r="B14" s="25" t="s">
        <v>401</v>
      </c>
      <c r="C14" s="25">
        <v>13998</v>
      </c>
      <c r="D14" s="25">
        <v>16571</v>
      </c>
      <c r="E14" s="25">
        <v>16571</v>
      </c>
      <c r="F14" s="25">
        <v>19144</v>
      </c>
      <c r="H14" s="25">
        <v>66283</v>
      </c>
    </row>
    <row r="15" spans="1:12" s="25" customFormat="1">
      <c r="B15" s="25" t="s">
        <v>28</v>
      </c>
      <c r="C15" s="25">
        <v>15553</v>
      </c>
      <c r="D15" s="25">
        <v>47871</v>
      </c>
      <c r="E15" s="25">
        <v>47871</v>
      </c>
      <c r="F15" s="25">
        <v>21271</v>
      </c>
      <c r="H15" s="25">
        <v>132566</v>
      </c>
    </row>
    <row r="16" spans="1:12" s="25" customFormat="1">
      <c r="B16" s="25" t="s">
        <v>406</v>
      </c>
      <c r="C16" s="25">
        <v>20996</v>
      </c>
      <c r="D16" s="25">
        <v>64626</v>
      </c>
      <c r="E16" s="25">
        <v>64626</v>
      </c>
      <c r="F16" s="25">
        <v>28716</v>
      </c>
      <c r="H16" s="25">
        <v>178964</v>
      </c>
    </row>
    <row r="17" spans="2:8" s="25" customFormat="1">
      <c r="B17" s="25" t="s">
        <v>29</v>
      </c>
      <c r="C17" s="25">
        <v>14681</v>
      </c>
      <c r="D17" s="25">
        <v>48302</v>
      </c>
      <c r="E17" s="25">
        <v>48302</v>
      </c>
      <c r="F17" s="25">
        <v>20078</v>
      </c>
      <c r="H17" s="25">
        <v>131362</v>
      </c>
    </row>
    <row r="18" spans="2:8" s="25" customFormat="1"/>
    <row r="19" spans="2:8" s="25" customFormat="1">
      <c r="B19" s="25" t="s">
        <v>377</v>
      </c>
      <c r="C19" s="25">
        <v>44154</v>
      </c>
      <c r="D19" s="25">
        <v>124837</v>
      </c>
      <c r="E19" s="25">
        <v>64626</v>
      </c>
      <c r="F19" s="25">
        <v>0</v>
      </c>
      <c r="H19" s="25">
        <v>233617</v>
      </c>
    </row>
    <row r="20" spans="2:8" s="25" customFormat="1">
      <c r="B20" s="25" t="s">
        <v>367</v>
      </c>
      <c r="C20" s="25">
        <v>30873</v>
      </c>
      <c r="D20" s="25">
        <v>93303</v>
      </c>
      <c r="E20" s="25">
        <v>48302</v>
      </c>
      <c r="F20" s="25">
        <v>0</v>
      </c>
      <c r="H20" s="25">
        <v>172477</v>
      </c>
    </row>
    <row r="21" spans="2:8" s="25" customFormat="1"/>
    <row r="22" spans="2:8" s="25" customFormat="1">
      <c r="B22" s="25" t="s">
        <v>379</v>
      </c>
      <c r="C22" s="25">
        <v>59593</v>
      </c>
      <c r="D22" s="25">
        <v>164977</v>
      </c>
      <c r="E22" s="25">
        <v>64626</v>
      </c>
      <c r="F22" s="25">
        <v>0</v>
      </c>
      <c r="H22" s="25">
        <v>289196</v>
      </c>
    </row>
    <row r="23" spans="2:8" s="25" customFormat="1">
      <c r="B23" s="25" t="s">
        <v>373</v>
      </c>
      <c r="C23" s="25">
        <v>41667</v>
      </c>
      <c r="D23" s="25">
        <v>123304</v>
      </c>
      <c r="E23" s="25">
        <v>48302</v>
      </c>
      <c r="F23" s="25">
        <v>0</v>
      </c>
      <c r="H23" s="25">
        <v>213273</v>
      </c>
    </row>
    <row r="24" spans="2:8" s="25" customFormat="1"/>
    <row r="25" spans="2:8" s="25" customFormat="1">
      <c r="B25" s="25" t="s">
        <v>381</v>
      </c>
      <c r="C25" s="25">
        <v>75032</v>
      </c>
      <c r="D25" s="25">
        <v>205117</v>
      </c>
      <c r="E25" s="25">
        <v>64626</v>
      </c>
      <c r="F25" s="25">
        <v>0</v>
      </c>
      <c r="H25" s="25">
        <v>344775</v>
      </c>
    </row>
    <row r="26" spans="2:8" s="25" customFormat="1">
      <c r="B26" s="25" t="s">
        <v>375</v>
      </c>
      <c r="C26" s="25">
        <v>52462</v>
      </c>
      <c r="D26" s="25">
        <v>153305</v>
      </c>
      <c r="E26" s="25">
        <v>48302</v>
      </c>
      <c r="F26" s="25">
        <v>0</v>
      </c>
      <c r="H26" s="25">
        <v>254069</v>
      </c>
    </row>
    <row r="27" spans="2:8" s="25" customFormat="1"/>
    <row r="28" spans="2:8" s="25" customFormat="1"/>
    <row r="29" spans="2:8" s="25" customFormat="1"/>
    <row r="30" spans="2:8" s="25" customFormat="1"/>
    <row r="31" spans="2:8" s="25" customFormat="1"/>
    <row r="32" spans="2:8" s="25" customFormat="1"/>
    <row r="33" spans="1:8" s="25" customFormat="1"/>
    <row r="34" spans="1:8" s="25" customFormat="1"/>
    <row r="35" spans="1:8" s="25" customFormat="1"/>
    <row r="36" spans="1:8">
      <c r="A36" s="25"/>
      <c r="C36" s="25"/>
      <c r="D36" s="25"/>
      <c r="E36" s="25"/>
      <c r="F36" s="25"/>
      <c r="G36" s="25"/>
      <c r="H36" s="25"/>
    </row>
    <row r="37" spans="1:8">
      <c r="A37" s="25"/>
      <c r="C37" s="25"/>
      <c r="D37" s="25"/>
      <c r="E37" s="25"/>
      <c r="F37" s="25"/>
      <c r="G37" s="25"/>
      <c r="H37" s="25"/>
    </row>
    <row r="38" spans="1:8">
      <c r="A38" s="25"/>
      <c r="C38" s="25"/>
      <c r="D38" s="25"/>
      <c r="E38" s="25"/>
      <c r="F38" s="25"/>
      <c r="G38" s="25"/>
      <c r="H38" s="25"/>
    </row>
    <row r="39" spans="1:8">
      <c r="A39" s="25"/>
      <c r="C39" s="25"/>
      <c r="D39" s="25"/>
      <c r="E39" s="25"/>
      <c r="F39" s="25"/>
      <c r="G39" s="25"/>
      <c r="H39" s="25"/>
    </row>
    <row r="40" spans="1:8">
      <c r="A40" s="25"/>
      <c r="C40" s="25"/>
      <c r="D40" s="25"/>
      <c r="E40" s="25"/>
      <c r="F40" s="25"/>
      <c r="G40" s="25"/>
      <c r="H40" s="25"/>
    </row>
    <row r="41" spans="1:8">
      <c r="A41" s="25"/>
      <c r="C41" s="25"/>
      <c r="D41" s="25"/>
      <c r="E41" s="25"/>
      <c r="F41" s="25"/>
      <c r="G41" s="25"/>
      <c r="H41" s="25"/>
    </row>
    <row r="42" spans="1:8">
      <c r="A42" s="25"/>
      <c r="C42" s="25"/>
      <c r="D42" s="25"/>
      <c r="E42" s="25"/>
      <c r="F42" s="25"/>
      <c r="G42" s="25"/>
      <c r="H42" s="25"/>
    </row>
    <row r="43" spans="1:8">
      <c r="A43" s="25"/>
      <c r="C43" s="25"/>
      <c r="D43" s="25"/>
      <c r="E43" s="25"/>
      <c r="F43" s="25"/>
      <c r="G43" s="25"/>
      <c r="H43" s="25"/>
    </row>
    <row r="44" spans="1:8">
      <c r="A44" s="25"/>
      <c r="C44" s="25"/>
      <c r="D44" s="25"/>
      <c r="E44" s="25"/>
      <c r="F44" s="25"/>
      <c r="G44" s="25"/>
      <c r="H44" s="25"/>
    </row>
    <row r="45" spans="1:8">
      <c r="A45" s="25"/>
      <c r="C45" s="25"/>
      <c r="D45" s="25"/>
      <c r="E45" s="25"/>
      <c r="F45" s="25"/>
      <c r="G45" s="25"/>
      <c r="H45" s="25"/>
    </row>
    <row r="46" spans="1:8">
      <c r="A46" s="25"/>
      <c r="C46" s="25"/>
      <c r="D46" s="25"/>
      <c r="E46" s="25"/>
      <c r="F46" s="25"/>
      <c r="G46" s="25"/>
      <c r="H46" s="25"/>
    </row>
    <row r="47" spans="1:8">
      <c r="A47" s="25"/>
      <c r="C47" s="25"/>
      <c r="D47" s="25"/>
      <c r="E47" s="25"/>
      <c r="F47" s="25"/>
      <c r="G47" s="25"/>
      <c r="H47" s="25"/>
    </row>
    <row r="48" spans="1:8">
      <c r="A48" s="25"/>
      <c r="C48" s="25"/>
      <c r="D48" s="25"/>
      <c r="E48" s="25"/>
      <c r="F48" s="25"/>
      <c r="G48" s="25"/>
      <c r="H48" s="25"/>
    </row>
    <row r="49" spans="1:8">
      <c r="A49" s="25"/>
      <c r="C49" s="25"/>
      <c r="D49" s="25"/>
      <c r="E49" s="25"/>
      <c r="F49" s="25"/>
      <c r="G49" s="25"/>
      <c r="H49" s="25"/>
    </row>
    <row r="50" spans="1:8">
      <c r="A50" s="25"/>
      <c r="C50" s="25"/>
      <c r="D50" s="25"/>
      <c r="E50" s="25"/>
      <c r="F50" s="25"/>
      <c r="G50" s="25"/>
      <c r="H50" s="25"/>
    </row>
    <row r="51" spans="1:8">
      <c r="A51" s="25"/>
      <c r="C51" s="25"/>
      <c r="D51" s="25"/>
      <c r="E51" s="25"/>
      <c r="F51" s="25"/>
      <c r="G51" s="25"/>
      <c r="H51" s="25"/>
    </row>
    <row r="52" spans="1:8">
      <c r="A52" s="25"/>
      <c r="C52" s="25"/>
      <c r="D52" s="25"/>
      <c r="E52" s="25"/>
      <c r="F52" s="25"/>
      <c r="G52" s="25"/>
      <c r="H52" s="25"/>
    </row>
    <row r="53" spans="1:8">
      <c r="A53" s="25"/>
      <c r="C53" s="25"/>
      <c r="D53" s="25"/>
      <c r="E53" s="25"/>
      <c r="F53" s="25"/>
      <c r="G53" s="25"/>
      <c r="H53" s="25"/>
    </row>
    <row r="54" spans="1:8">
      <c r="A54" s="25"/>
      <c r="C54" s="25"/>
      <c r="D54" s="25"/>
      <c r="E54" s="25"/>
      <c r="F54" s="25"/>
      <c r="G54" s="25"/>
      <c r="H54" s="25"/>
    </row>
  </sheetData>
  <protectedRanges>
    <protectedRange sqref="B3:I3" name="範圍1_1"/>
  </protectedRanges>
  <phoneticPr fontId="1" type="noConversion"/>
  <dataValidations count="1">
    <dataValidation type="list" allowBlank="1" showInputMessage="1" showErrorMessage="1" sqref="B3:F3">
      <formula1>護符</formula1>
    </dataValidation>
  </dataValidations>
  <pageMargins left="0.7" right="0.7" top="0.75" bottom="0.75" header="0.3" footer="0.3"/>
  <pageSetup paperSize="9" orientation="portrait" horizontalDpi="300" verticalDpi="30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5"/>
  <dimension ref="A1:C118"/>
  <sheetViews>
    <sheetView topLeftCell="A91" workbookViewId="0">
      <selection activeCell="B113" sqref="B113"/>
    </sheetView>
  </sheetViews>
  <sheetFormatPr defaultRowHeight="15.5"/>
  <cols>
    <col min="1" max="1" width="29.6328125" style="13" customWidth="1"/>
    <col min="2" max="2" width="23.36328125" style="17" customWidth="1"/>
    <col min="3" max="3" width="38.1796875" style="17" customWidth="1"/>
    <col min="4" max="4" width="20.36328125" style="17" customWidth="1"/>
    <col min="5" max="16384" width="8.7265625" style="17"/>
  </cols>
  <sheetData>
    <row r="1" spans="1:3" s="12" customFormat="1">
      <c r="A1" s="11" t="s">
        <v>56</v>
      </c>
      <c r="B1" s="12" t="s">
        <v>30</v>
      </c>
      <c r="C1" s="12" t="s">
        <v>31</v>
      </c>
    </row>
    <row r="2" spans="1:3" s="15" customFormat="1">
      <c r="A2" s="13" t="s">
        <v>146</v>
      </c>
      <c r="B2" s="14" t="s">
        <v>147</v>
      </c>
      <c r="C2" s="14" t="s">
        <v>147</v>
      </c>
    </row>
    <row r="3" spans="1:3" s="15" customFormat="1">
      <c r="A3" s="13" t="s">
        <v>153</v>
      </c>
      <c r="B3" s="14" t="s">
        <v>286</v>
      </c>
      <c r="C3" s="14" t="s">
        <v>285</v>
      </c>
    </row>
    <row r="4" spans="1:3" s="15" customFormat="1">
      <c r="A4" s="13" t="s">
        <v>154</v>
      </c>
      <c r="B4" s="14" t="s">
        <v>287</v>
      </c>
      <c r="C4" s="14" t="s">
        <v>87</v>
      </c>
    </row>
    <row r="5" spans="1:3" s="15" customFormat="1">
      <c r="A5" s="13" t="s">
        <v>155</v>
      </c>
      <c r="B5" s="14" t="s">
        <v>288</v>
      </c>
      <c r="C5" s="14" t="s">
        <v>88</v>
      </c>
    </row>
    <row r="6" spans="1:3" s="15" customFormat="1">
      <c r="A6" s="13" t="s">
        <v>156</v>
      </c>
      <c r="B6" s="14" t="s">
        <v>289</v>
      </c>
      <c r="C6" s="14" t="s">
        <v>89</v>
      </c>
    </row>
    <row r="7" spans="1:3" s="15" customFormat="1">
      <c r="A7" s="13" t="s">
        <v>157</v>
      </c>
      <c r="B7" s="14" t="s">
        <v>291</v>
      </c>
      <c r="C7" s="14" t="s">
        <v>90</v>
      </c>
    </row>
    <row r="8" spans="1:3" s="15" customFormat="1">
      <c r="A8" s="13" t="s">
        <v>148</v>
      </c>
      <c r="B8" s="14" t="s">
        <v>292</v>
      </c>
      <c r="C8" s="14" t="s">
        <v>82</v>
      </c>
    </row>
    <row r="9" spans="1:3" s="15" customFormat="1">
      <c r="A9" s="13" t="s">
        <v>149</v>
      </c>
      <c r="B9" s="14" t="s">
        <v>293</v>
      </c>
      <c r="C9" s="14" t="s">
        <v>83</v>
      </c>
    </row>
    <row r="10" spans="1:3" s="15" customFormat="1">
      <c r="A10" s="13" t="s">
        <v>150</v>
      </c>
      <c r="B10" s="14" t="s">
        <v>294</v>
      </c>
      <c r="C10" s="14" t="s">
        <v>84</v>
      </c>
    </row>
    <row r="11" spans="1:3" s="15" customFormat="1">
      <c r="A11" s="13" t="s">
        <v>151</v>
      </c>
      <c r="B11" s="14" t="s">
        <v>295</v>
      </c>
      <c r="C11" s="14" t="s">
        <v>85</v>
      </c>
    </row>
    <row r="12" spans="1:3" s="15" customFormat="1">
      <c r="A12" s="13" t="s">
        <v>152</v>
      </c>
      <c r="B12" s="14" t="s">
        <v>297</v>
      </c>
      <c r="C12" s="14" t="s">
        <v>86</v>
      </c>
    </row>
    <row r="13" spans="1:3" s="15" customFormat="1">
      <c r="A13" s="16" t="s">
        <v>167</v>
      </c>
      <c r="B13" s="14" t="s">
        <v>298</v>
      </c>
      <c r="C13" s="14" t="s">
        <v>92</v>
      </c>
    </row>
    <row r="14" spans="1:3" s="15" customFormat="1">
      <c r="A14" s="16" t="s">
        <v>168</v>
      </c>
      <c r="B14" s="14" t="s">
        <v>299</v>
      </c>
      <c r="C14" s="14" t="s">
        <v>93</v>
      </c>
    </row>
    <row r="15" spans="1:3" s="15" customFormat="1">
      <c r="A15" s="16" t="s">
        <v>169</v>
      </c>
      <c r="B15" s="14" t="s">
        <v>301</v>
      </c>
      <c r="C15" s="14" t="s">
        <v>94</v>
      </c>
    </row>
    <row r="16" spans="1:3" s="15" customFormat="1">
      <c r="A16" s="16" t="s">
        <v>170</v>
      </c>
      <c r="B16" s="14" t="s">
        <v>302</v>
      </c>
      <c r="C16" s="14" t="s">
        <v>95</v>
      </c>
    </row>
    <row r="17" spans="1:3" s="15" customFormat="1">
      <c r="A17" s="16" t="s">
        <v>171</v>
      </c>
      <c r="B17" s="14" t="s">
        <v>303</v>
      </c>
      <c r="C17" s="14" t="s">
        <v>96</v>
      </c>
    </row>
    <row r="18" spans="1:3" s="15" customFormat="1">
      <c r="A18" s="16" t="s">
        <v>162</v>
      </c>
      <c r="B18" s="14" t="s">
        <v>304</v>
      </c>
      <c r="C18" s="14" t="s">
        <v>158</v>
      </c>
    </row>
    <row r="19" spans="1:3" s="15" customFormat="1">
      <c r="A19" s="16" t="s">
        <v>163</v>
      </c>
      <c r="B19" s="14" t="s">
        <v>305</v>
      </c>
      <c r="C19" s="14" t="s">
        <v>91</v>
      </c>
    </row>
    <row r="20" spans="1:3" s="15" customFormat="1">
      <c r="A20" s="16" t="s">
        <v>164</v>
      </c>
      <c r="B20" s="14" t="s">
        <v>306</v>
      </c>
      <c r="C20" s="14" t="s">
        <v>159</v>
      </c>
    </row>
    <row r="21" spans="1:3" s="15" customFormat="1">
      <c r="A21" s="16" t="s">
        <v>165</v>
      </c>
      <c r="B21" s="14" t="s">
        <v>307</v>
      </c>
      <c r="C21" s="14" t="s">
        <v>160</v>
      </c>
    </row>
    <row r="22" spans="1:3" s="15" customFormat="1">
      <c r="A22" s="16" t="s">
        <v>166</v>
      </c>
      <c r="B22" s="14" t="s">
        <v>308</v>
      </c>
      <c r="C22" s="14" t="s">
        <v>161</v>
      </c>
    </row>
    <row r="23" spans="1:3" s="15" customFormat="1">
      <c r="A23" s="16" t="s">
        <v>172</v>
      </c>
      <c r="B23" s="14" t="s">
        <v>32</v>
      </c>
      <c r="C23" s="14" t="s">
        <v>97</v>
      </c>
    </row>
    <row r="24" spans="1:3" s="15" customFormat="1">
      <c r="A24" s="16" t="s">
        <v>173</v>
      </c>
      <c r="B24" s="14" t="s">
        <v>33</v>
      </c>
      <c r="C24" s="14" t="s">
        <v>98</v>
      </c>
    </row>
    <row r="25" spans="1:3" s="15" customFormat="1">
      <c r="A25" s="16" t="s">
        <v>174</v>
      </c>
      <c r="B25" s="14" t="s">
        <v>34</v>
      </c>
      <c r="C25" s="14" t="s">
        <v>99</v>
      </c>
    </row>
    <row r="26" spans="1:3" s="15" customFormat="1">
      <c r="A26" s="16" t="s">
        <v>175</v>
      </c>
      <c r="B26" s="14" t="s">
        <v>35</v>
      </c>
      <c r="C26" s="14" t="s">
        <v>100</v>
      </c>
    </row>
    <row r="27" spans="1:3" s="15" customFormat="1">
      <c r="A27" s="16" t="s">
        <v>176</v>
      </c>
      <c r="B27" s="14" t="s">
        <v>36</v>
      </c>
      <c r="C27" s="14" t="s">
        <v>101</v>
      </c>
    </row>
    <row r="28" spans="1:3" s="15" customFormat="1">
      <c r="A28" s="16" t="s">
        <v>177</v>
      </c>
      <c r="B28" s="14" t="s">
        <v>37</v>
      </c>
      <c r="C28" s="14" t="s">
        <v>102</v>
      </c>
    </row>
    <row r="29" spans="1:3" s="15" customFormat="1">
      <c r="A29" s="16" t="s">
        <v>178</v>
      </c>
      <c r="B29" s="14" t="s">
        <v>38</v>
      </c>
      <c r="C29" s="14" t="s">
        <v>103</v>
      </c>
    </row>
    <row r="30" spans="1:3" s="15" customFormat="1">
      <c r="A30" s="16" t="s">
        <v>179</v>
      </c>
      <c r="B30" s="14" t="s">
        <v>39</v>
      </c>
      <c r="C30" s="14" t="s">
        <v>104</v>
      </c>
    </row>
    <row r="31" spans="1:3" s="15" customFormat="1">
      <c r="A31" s="16" t="s">
        <v>180</v>
      </c>
      <c r="B31" s="14" t="s">
        <v>40</v>
      </c>
      <c r="C31" s="14" t="s">
        <v>105</v>
      </c>
    </row>
    <row r="32" spans="1:3" s="15" customFormat="1">
      <c r="A32" s="16" t="s">
        <v>181</v>
      </c>
      <c r="B32" s="14" t="s">
        <v>41</v>
      </c>
      <c r="C32" s="14" t="s">
        <v>106</v>
      </c>
    </row>
    <row r="33" spans="1:3" s="15" customFormat="1">
      <c r="A33" s="16" t="s">
        <v>182</v>
      </c>
      <c r="B33" s="14" t="s">
        <v>233</v>
      </c>
      <c r="C33" s="14" t="s">
        <v>107</v>
      </c>
    </row>
    <row r="34" spans="1:3" s="15" customFormat="1">
      <c r="A34" s="16" t="s">
        <v>183</v>
      </c>
      <c r="B34" s="14" t="s">
        <v>234</v>
      </c>
      <c r="C34" s="14" t="s">
        <v>108</v>
      </c>
    </row>
    <row r="35" spans="1:3" s="15" customFormat="1">
      <c r="A35" s="16" t="s">
        <v>184</v>
      </c>
      <c r="B35" s="14" t="s">
        <v>235</v>
      </c>
      <c r="C35" s="14" t="s">
        <v>109</v>
      </c>
    </row>
    <row r="36" spans="1:3" s="15" customFormat="1">
      <c r="A36" s="16" t="s">
        <v>185</v>
      </c>
      <c r="B36" s="14" t="s">
        <v>236</v>
      </c>
      <c r="C36" s="14" t="s">
        <v>110</v>
      </c>
    </row>
    <row r="37" spans="1:3" s="15" customFormat="1">
      <c r="A37" s="16" t="s">
        <v>186</v>
      </c>
      <c r="B37" s="14" t="s">
        <v>237</v>
      </c>
      <c r="C37" s="14" t="s">
        <v>111</v>
      </c>
    </row>
    <row r="38" spans="1:3" s="15" customFormat="1">
      <c r="A38" s="16" t="s">
        <v>187</v>
      </c>
      <c r="B38" s="14" t="s">
        <v>238</v>
      </c>
      <c r="C38" s="14" t="s">
        <v>112</v>
      </c>
    </row>
    <row r="39" spans="1:3" s="15" customFormat="1">
      <c r="A39" s="16" t="s">
        <v>188</v>
      </c>
      <c r="B39" s="14" t="s">
        <v>239</v>
      </c>
      <c r="C39" s="14" t="s">
        <v>113</v>
      </c>
    </row>
    <row r="40" spans="1:3" s="15" customFormat="1">
      <c r="A40" s="16" t="s">
        <v>189</v>
      </c>
      <c r="B40" s="14" t="s">
        <v>240</v>
      </c>
      <c r="C40" s="14" t="s">
        <v>114</v>
      </c>
    </row>
    <row r="41" spans="1:3" s="15" customFormat="1">
      <c r="A41" s="16" t="s">
        <v>190</v>
      </c>
      <c r="B41" s="14" t="s">
        <v>241</v>
      </c>
      <c r="C41" s="14" t="s">
        <v>115</v>
      </c>
    </row>
    <row r="42" spans="1:3" s="15" customFormat="1">
      <c r="A42" s="16" t="s">
        <v>191</v>
      </c>
      <c r="B42" s="14" t="s">
        <v>242</v>
      </c>
      <c r="C42" s="14" t="s">
        <v>116</v>
      </c>
    </row>
    <row r="43" spans="1:3" s="15" customFormat="1">
      <c r="A43" s="16" t="s">
        <v>243</v>
      </c>
      <c r="B43" s="14" t="s">
        <v>263</v>
      </c>
      <c r="C43" s="14" t="s">
        <v>117</v>
      </c>
    </row>
    <row r="44" spans="1:3" s="15" customFormat="1">
      <c r="A44" s="16" t="s">
        <v>244</v>
      </c>
      <c r="B44" s="14" t="s">
        <v>264</v>
      </c>
      <c r="C44" s="14" t="s">
        <v>118</v>
      </c>
    </row>
    <row r="45" spans="1:3" s="15" customFormat="1">
      <c r="A45" s="16" t="s">
        <v>245</v>
      </c>
      <c r="B45" s="14" t="s">
        <v>265</v>
      </c>
      <c r="C45" s="14" t="s">
        <v>119</v>
      </c>
    </row>
    <row r="46" spans="1:3" s="15" customFormat="1">
      <c r="A46" s="16" t="s">
        <v>246</v>
      </c>
      <c r="B46" s="14" t="s">
        <v>266</v>
      </c>
      <c r="C46" s="14" t="s">
        <v>120</v>
      </c>
    </row>
    <row r="47" spans="1:3" s="15" customFormat="1">
      <c r="A47" s="16" t="s">
        <v>247</v>
      </c>
      <c r="B47" s="14" t="s">
        <v>267</v>
      </c>
      <c r="C47" s="14" t="s">
        <v>111</v>
      </c>
    </row>
    <row r="48" spans="1:3" s="15" customFormat="1">
      <c r="A48" s="16" t="s">
        <v>248</v>
      </c>
      <c r="B48" s="14" t="s">
        <v>268</v>
      </c>
      <c r="C48" s="14" t="s">
        <v>121</v>
      </c>
    </row>
    <row r="49" spans="1:3" s="15" customFormat="1">
      <c r="A49" s="16" t="s">
        <v>249</v>
      </c>
      <c r="B49" s="14" t="s">
        <v>269</v>
      </c>
      <c r="C49" s="14" t="s">
        <v>122</v>
      </c>
    </row>
    <row r="50" spans="1:3" s="15" customFormat="1">
      <c r="A50" s="16" t="s">
        <v>250</v>
      </c>
      <c r="B50" s="14" t="s">
        <v>270</v>
      </c>
      <c r="C50" s="14" t="s">
        <v>123</v>
      </c>
    </row>
    <row r="51" spans="1:3">
      <c r="A51" s="16" t="s">
        <v>251</v>
      </c>
      <c r="B51" s="14" t="s">
        <v>271</v>
      </c>
      <c r="C51" s="14" t="s">
        <v>124</v>
      </c>
    </row>
    <row r="52" spans="1:3">
      <c r="A52" s="16" t="s">
        <v>252</v>
      </c>
      <c r="B52" s="14" t="s">
        <v>272</v>
      </c>
      <c r="C52" s="14" t="s">
        <v>125</v>
      </c>
    </row>
    <row r="53" spans="1:3">
      <c r="A53" s="16" t="s">
        <v>253</v>
      </c>
      <c r="B53" s="14" t="s">
        <v>273</v>
      </c>
      <c r="C53" s="14" t="s">
        <v>126</v>
      </c>
    </row>
    <row r="54" spans="1:3">
      <c r="A54" s="16" t="s">
        <v>254</v>
      </c>
      <c r="B54" s="14" t="s">
        <v>274</v>
      </c>
      <c r="C54" s="14" t="s">
        <v>127</v>
      </c>
    </row>
    <row r="55" spans="1:3">
      <c r="A55" s="16" t="s">
        <v>255</v>
      </c>
      <c r="B55" s="14" t="s">
        <v>275</v>
      </c>
      <c r="C55" s="14" t="s">
        <v>128</v>
      </c>
    </row>
    <row r="56" spans="1:3">
      <c r="A56" s="16" t="s">
        <v>256</v>
      </c>
      <c r="B56" s="14" t="s">
        <v>276</v>
      </c>
      <c r="C56" s="14" t="s">
        <v>129</v>
      </c>
    </row>
    <row r="57" spans="1:3">
      <c r="A57" s="16" t="s">
        <v>257</v>
      </c>
      <c r="B57" s="14" t="s">
        <v>277</v>
      </c>
      <c r="C57" s="14" t="s">
        <v>130</v>
      </c>
    </row>
    <row r="58" spans="1:3">
      <c r="A58" s="16" t="s">
        <v>258</v>
      </c>
      <c r="B58" s="14" t="s">
        <v>278</v>
      </c>
      <c r="C58" s="14" t="s">
        <v>131</v>
      </c>
    </row>
    <row r="59" spans="1:3">
      <c r="A59" s="16" t="s">
        <v>259</v>
      </c>
      <c r="B59" s="14" t="s">
        <v>279</v>
      </c>
      <c r="C59" s="14" t="s">
        <v>132</v>
      </c>
    </row>
    <row r="60" spans="1:3">
      <c r="A60" s="16" t="s">
        <v>260</v>
      </c>
      <c r="B60" s="14" t="s">
        <v>280</v>
      </c>
      <c r="C60" s="14" t="s">
        <v>133</v>
      </c>
    </row>
    <row r="61" spans="1:3">
      <c r="A61" s="16" t="s">
        <v>261</v>
      </c>
      <c r="B61" s="14" t="s">
        <v>281</v>
      </c>
      <c r="C61" s="14" t="s">
        <v>134</v>
      </c>
    </row>
    <row r="62" spans="1:3">
      <c r="A62" s="16" t="s">
        <v>262</v>
      </c>
      <c r="B62" s="14" t="s">
        <v>282</v>
      </c>
      <c r="C62" s="14" t="s">
        <v>135</v>
      </c>
    </row>
    <row r="63" spans="1:3">
      <c r="B63" s="18"/>
      <c r="C63" s="14"/>
    </row>
    <row r="64" spans="1:3">
      <c r="A64" s="19" t="s">
        <v>192</v>
      </c>
      <c r="B64" s="20" t="s">
        <v>42</v>
      </c>
      <c r="C64" s="17" t="s">
        <v>138</v>
      </c>
    </row>
    <row r="65" spans="1:3">
      <c r="A65" s="19" t="s">
        <v>193</v>
      </c>
      <c r="B65" s="20" t="s">
        <v>19</v>
      </c>
      <c r="C65" s="17" t="s">
        <v>136</v>
      </c>
    </row>
    <row r="66" spans="1:3">
      <c r="A66" s="19" t="s">
        <v>194</v>
      </c>
      <c r="B66" s="20" t="s">
        <v>18</v>
      </c>
      <c r="C66" s="17" t="s">
        <v>139</v>
      </c>
    </row>
    <row r="67" spans="1:3">
      <c r="A67" s="19" t="s">
        <v>195</v>
      </c>
      <c r="B67" s="20" t="s">
        <v>20</v>
      </c>
      <c r="C67" s="17" t="s">
        <v>137</v>
      </c>
    </row>
    <row r="69" spans="1:3">
      <c r="A69" s="19" t="s">
        <v>196</v>
      </c>
      <c r="B69" s="20" t="s">
        <v>284</v>
      </c>
      <c r="C69" s="17" t="s">
        <v>69</v>
      </c>
    </row>
    <row r="70" spans="1:3">
      <c r="A70" s="13" t="s">
        <v>216</v>
      </c>
      <c r="B70" s="21" t="s">
        <v>10</v>
      </c>
      <c r="C70" s="17" t="s">
        <v>64</v>
      </c>
    </row>
    <row r="71" spans="1:3">
      <c r="A71" s="13" t="s">
        <v>217</v>
      </c>
      <c r="B71" s="21" t="s">
        <v>65</v>
      </c>
      <c r="C71" s="17" t="s">
        <v>66</v>
      </c>
    </row>
    <row r="73" spans="1:3">
      <c r="A73" s="16" t="s">
        <v>197</v>
      </c>
      <c r="B73" s="20" t="s">
        <v>12</v>
      </c>
      <c r="C73" s="17" t="s">
        <v>197</v>
      </c>
    </row>
    <row r="74" spans="1:3">
      <c r="A74" s="16" t="s">
        <v>198</v>
      </c>
      <c r="B74" s="20" t="s">
        <v>13</v>
      </c>
      <c r="C74" s="17" t="s">
        <v>198</v>
      </c>
    </row>
    <row r="75" spans="1:3">
      <c r="A75" s="16" t="s">
        <v>199</v>
      </c>
      <c r="B75" s="20" t="s">
        <v>14</v>
      </c>
      <c r="C75" s="17" t="s">
        <v>199</v>
      </c>
    </row>
    <row r="76" spans="1:3">
      <c r="A76" s="16" t="s">
        <v>200</v>
      </c>
      <c r="B76" s="20" t="s">
        <v>15</v>
      </c>
      <c r="C76" s="17" t="s">
        <v>200</v>
      </c>
    </row>
    <row r="77" spans="1:3">
      <c r="A77" s="16" t="s">
        <v>201</v>
      </c>
      <c r="B77" s="20" t="s">
        <v>16</v>
      </c>
      <c r="C77" s="17" t="s">
        <v>201</v>
      </c>
    </row>
    <row r="78" spans="1:3">
      <c r="A78" s="19" t="s">
        <v>202</v>
      </c>
      <c r="B78" s="20" t="s">
        <v>0</v>
      </c>
      <c r="C78" s="17" t="s">
        <v>58</v>
      </c>
    </row>
    <row r="79" spans="1:3">
      <c r="A79" s="19" t="s">
        <v>203</v>
      </c>
      <c r="B79" s="20" t="s">
        <v>1</v>
      </c>
      <c r="C79" s="17" t="s">
        <v>60</v>
      </c>
    </row>
    <row r="80" spans="1:3">
      <c r="A80" s="19" t="s">
        <v>204</v>
      </c>
      <c r="B80" s="20" t="s">
        <v>2</v>
      </c>
      <c r="C80" s="17" t="s">
        <v>59</v>
      </c>
    </row>
    <row r="82" spans="1:3">
      <c r="A82" s="16" t="s">
        <v>205</v>
      </c>
      <c r="B82" s="17" t="s">
        <v>8</v>
      </c>
      <c r="C82" s="17" t="s">
        <v>61</v>
      </c>
    </row>
    <row r="83" spans="1:3">
      <c r="A83" s="16" t="s">
        <v>206</v>
      </c>
      <c r="B83" s="17" t="s">
        <v>9</v>
      </c>
      <c r="C83" s="17" t="s">
        <v>62</v>
      </c>
    </row>
    <row r="84" spans="1:3">
      <c r="A84" s="16" t="s">
        <v>207</v>
      </c>
      <c r="B84" s="17" t="s">
        <v>228</v>
      </c>
      <c r="C84" s="17" t="s">
        <v>140</v>
      </c>
    </row>
    <row r="85" spans="1:3">
      <c r="A85" s="16" t="s">
        <v>208</v>
      </c>
      <c r="B85" s="17" t="s">
        <v>222</v>
      </c>
      <c r="C85" s="17" t="s">
        <v>141</v>
      </c>
    </row>
    <row r="86" spans="1:3">
      <c r="A86" s="16" t="s">
        <v>209</v>
      </c>
      <c r="B86" s="17" t="s">
        <v>230</v>
      </c>
      <c r="C86" s="17" t="s">
        <v>142</v>
      </c>
    </row>
    <row r="87" spans="1:3">
      <c r="A87" s="16" t="s">
        <v>210</v>
      </c>
      <c r="B87" s="17" t="s">
        <v>224</v>
      </c>
      <c r="C87" s="17" t="s">
        <v>143</v>
      </c>
    </row>
    <row r="88" spans="1:3">
      <c r="A88" s="16" t="s">
        <v>211</v>
      </c>
      <c r="B88" s="17" t="s">
        <v>232</v>
      </c>
      <c r="C88" s="17" t="s">
        <v>144</v>
      </c>
    </row>
    <row r="89" spans="1:3">
      <c r="A89" s="16" t="s">
        <v>212</v>
      </c>
      <c r="B89" s="17" t="s">
        <v>226</v>
      </c>
      <c r="C89" s="17" t="s">
        <v>145</v>
      </c>
    </row>
    <row r="91" spans="1:3">
      <c r="A91" s="16" t="s">
        <v>213</v>
      </c>
      <c r="B91" s="17" t="s">
        <v>75</v>
      </c>
      <c r="C91" s="17" t="s">
        <v>70</v>
      </c>
    </row>
    <row r="92" spans="1:3">
      <c r="A92" s="16" t="s">
        <v>214</v>
      </c>
      <c r="B92" s="17" t="s">
        <v>77</v>
      </c>
      <c r="C92" s="17" t="s">
        <v>71</v>
      </c>
    </row>
    <row r="93" spans="1:3">
      <c r="A93" s="16" t="s">
        <v>220</v>
      </c>
      <c r="B93" s="17" t="s">
        <v>79</v>
      </c>
      <c r="C93" s="17" t="s">
        <v>72</v>
      </c>
    </row>
    <row r="94" spans="1:3">
      <c r="A94" s="16" t="s">
        <v>215</v>
      </c>
      <c r="B94" s="17" t="s">
        <v>81</v>
      </c>
      <c r="C94" s="17" t="s">
        <v>73</v>
      </c>
    </row>
    <row r="95" spans="1:3">
      <c r="A95" s="16" t="s">
        <v>63</v>
      </c>
      <c r="B95" s="17" t="s">
        <v>11</v>
      </c>
      <c r="C95" s="17" t="s">
        <v>63</v>
      </c>
    </row>
    <row r="97" spans="1:3">
      <c r="A97" s="13" t="s">
        <v>397</v>
      </c>
      <c r="B97" s="21" t="s">
        <v>400</v>
      </c>
      <c r="C97" s="17" t="s">
        <v>403</v>
      </c>
    </row>
    <row r="98" spans="1:3">
      <c r="A98" s="13" t="s">
        <v>398</v>
      </c>
      <c r="B98" s="21" t="s">
        <v>402</v>
      </c>
      <c r="C98" s="17" t="s">
        <v>404</v>
      </c>
    </row>
    <row r="99" spans="1:3">
      <c r="A99" s="13" t="s">
        <v>218</v>
      </c>
      <c r="B99" s="21" t="s">
        <v>28</v>
      </c>
      <c r="C99" s="17" t="s">
        <v>67</v>
      </c>
    </row>
    <row r="100" spans="1:3">
      <c r="A100" s="13" t="s">
        <v>405</v>
      </c>
      <c r="B100" s="21" t="s">
        <v>407</v>
      </c>
      <c r="C100" s="17" t="s">
        <v>408</v>
      </c>
    </row>
    <row r="101" spans="1:3">
      <c r="A101" s="13" t="s">
        <v>219</v>
      </c>
      <c r="B101" s="21" t="s">
        <v>29</v>
      </c>
      <c r="C101" s="17" t="s">
        <v>68</v>
      </c>
    </row>
    <row r="103" spans="1:3">
      <c r="A103" s="13" t="s">
        <v>365</v>
      </c>
      <c r="B103" s="17" t="s">
        <v>378</v>
      </c>
      <c r="C103" s="17" t="s">
        <v>409</v>
      </c>
    </row>
    <row r="104" spans="1:3">
      <c r="A104" s="13" t="s">
        <v>366</v>
      </c>
      <c r="B104" s="17" t="s">
        <v>368</v>
      </c>
      <c r="C104" s="17" t="s">
        <v>410</v>
      </c>
    </row>
    <row r="105" spans="1:3">
      <c r="A105" s="13" t="s">
        <v>369</v>
      </c>
      <c r="B105" s="17" t="s">
        <v>380</v>
      </c>
      <c r="C105" s="17" t="s">
        <v>411</v>
      </c>
    </row>
    <row r="106" spans="1:3">
      <c r="A106" s="13" t="s">
        <v>370</v>
      </c>
      <c r="B106" s="17" t="s">
        <v>374</v>
      </c>
      <c r="C106" s="17" t="s">
        <v>412</v>
      </c>
    </row>
    <row r="107" spans="1:3">
      <c r="A107" s="13" t="s">
        <v>371</v>
      </c>
      <c r="B107" s="17" t="s">
        <v>382</v>
      </c>
      <c r="C107" s="17" t="s">
        <v>413</v>
      </c>
    </row>
    <row r="108" spans="1:3">
      <c r="A108" s="13" t="s">
        <v>372</v>
      </c>
      <c r="B108" s="17" t="s">
        <v>376</v>
      </c>
      <c r="C108" s="17" t="s">
        <v>414</v>
      </c>
    </row>
    <row r="110" spans="1:3">
      <c r="A110" s="13" t="s">
        <v>53</v>
      </c>
      <c r="B110" s="21" t="s">
        <v>21</v>
      </c>
      <c r="C110" s="17" t="s">
        <v>53</v>
      </c>
    </row>
    <row r="111" spans="1:3">
      <c r="A111" s="13" t="s">
        <v>54</v>
      </c>
      <c r="B111" s="21" t="s">
        <v>43</v>
      </c>
      <c r="C111" s="17" t="s">
        <v>54</v>
      </c>
    </row>
    <row r="112" spans="1:3">
      <c r="A112" s="13" t="s">
        <v>55</v>
      </c>
      <c r="B112" s="21" t="s">
        <v>44</v>
      </c>
      <c r="C112" s="17" t="s">
        <v>55</v>
      </c>
    </row>
    <row r="113" spans="1:3">
      <c r="A113" s="13" t="s">
        <v>415</v>
      </c>
      <c r="B113" s="21" t="s">
        <v>416</v>
      </c>
      <c r="C113" s="17" t="s">
        <v>415</v>
      </c>
    </row>
    <row r="115" spans="1:3">
      <c r="A115" s="13" t="s">
        <v>49</v>
      </c>
      <c r="B115" s="21" t="s">
        <v>47</v>
      </c>
      <c r="C115" s="17" t="s">
        <v>49</v>
      </c>
    </row>
    <row r="116" spans="1:3">
      <c r="A116" s="13" t="s">
        <v>48</v>
      </c>
      <c r="B116" s="21" t="s">
        <v>46</v>
      </c>
      <c r="C116" s="17" t="s">
        <v>48</v>
      </c>
    </row>
    <row r="118" spans="1:3">
      <c r="A118" s="13" t="s">
        <v>51</v>
      </c>
      <c r="B118" s="17" t="s">
        <v>50</v>
      </c>
      <c r="C118" s="17" t="s">
        <v>51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6"/>
  <dimension ref="A1:C73"/>
  <sheetViews>
    <sheetView topLeftCell="A7" workbookViewId="0">
      <selection activeCell="B11" sqref="B11"/>
    </sheetView>
  </sheetViews>
  <sheetFormatPr defaultRowHeight="17"/>
  <cols>
    <col min="1" max="1" width="20.90625" customWidth="1"/>
    <col min="2" max="2" width="13.453125" customWidth="1"/>
    <col min="3" max="3" width="16.36328125" customWidth="1"/>
  </cols>
  <sheetData>
    <row r="1" spans="1:3">
      <c r="A1" t="s">
        <v>25</v>
      </c>
      <c r="B1" t="s">
        <v>26</v>
      </c>
      <c r="C1" t="s">
        <v>45</v>
      </c>
    </row>
    <row r="2" spans="1:3">
      <c r="A2" t="s">
        <v>57</v>
      </c>
      <c r="B2" t="s">
        <v>24</v>
      </c>
      <c r="C2" t="s">
        <v>310</v>
      </c>
    </row>
    <row r="3" spans="1:3">
      <c r="A3" t="s">
        <v>312</v>
      </c>
      <c r="B3" t="s">
        <v>27</v>
      </c>
      <c r="C3" t="s">
        <v>311</v>
      </c>
    </row>
    <row r="4" spans="1:3">
      <c r="A4" t="s">
        <v>313</v>
      </c>
    </row>
    <row r="5" spans="1:3">
      <c r="A5" t="s">
        <v>314</v>
      </c>
    </row>
    <row r="6" spans="1:3">
      <c r="A6" t="s">
        <v>315</v>
      </c>
    </row>
    <row r="7" spans="1:3">
      <c r="A7" t="s">
        <v>290</v>
      </c>
    </row>
    <row r="8" spans="1:3">
      <c r="A8" t="s">
        <v>57</v>
      </c>
    </row>
    <row r="9" spans="1:3">
      <c r="A9" t="s">
        <v>316</v>
      </c>
    </row>
    <row r="10" spans="1:3">
      <c r="A10" t="s">
        <v>317</v>
      </c>
    </row>
    <row r="11" spans="1:3">
      <c r="A11" t="s">
        <v>318</v>
      </c>
    </row>
    <row r="12" spans="1:3">
      <c r="A12" t="s">
        <v>319</v>
      </c>
    </row>
    <row r="13" spans="1:3">
      <c r="A13" t="s">
        <v>296</v>
      </c>
    </row>
    <row r="14" spans="1:3">
      <c r="A14" t="s">
        <v>57</v>
      </c>
    </row>
    <row r="15" spans="1:3">
      <c r="A15" t="s">
        <v>320</v>
      </c>
    </row>
    <row r="16" spans="1:3">
      <c r="A16" t="s">
        <v>321</v>
      </c>
    </row>
    <row r="17" spans="1:1">
      <c r="A17" t="s">
        <v>300</v>
      </c>
    </row>
    <row r="18" spans="1:1">
      <c r="A18" t="s">
        <v>322</v>
      </c>
    </row>
    <row r="19" spans="1:1">
      <c r="A19" t="s">
        <v>323</v>
      </c>
    </row>
    <row r="20" spans="1:1">
      <c r="A20" t="s">
        <v>57</v>
      </c>
    </row>
    <row r="21" spans="1:1">
      <c r="A21" t="s">
        <v>324</v>
      </c>
    </row>
    <row r="22" spans="1:1">
      <c r="A22" t="s">
        <v>325</v>
      </c>
    </row>
    <row r="23" spans="1:1">
      <c r="A23" t="s">
        <v>326</v>
      </c>
    </row>
    <row r="24" spans="1:1">
      <c r="A24" t="s">
        <v>327</v>
      </c>
    </row>
    <row r="25" spans="1:1">
      <c r="A25" t="s">
        <v>328</v>
      </c>
    </row>
    <row r="26" spans="1:1">
      <c r="A26" t="s">
        <v>57</v>
      </c>
    </row>
    <row r="27" spans="1:1">
      <c r="A27" t="s">
        <v>329</v>
      </c>
    </row>
    <row r="28" spans="1:1">
      <c r="A28" t="s">
        <v>330</v>
      </c>
    </row>
    <row r="29" spans="1:1">
      <c r="A29" t="s">
        <v>23</v>
      </c>
    </row>
    <row r="30" spans="1:1">
      <c r="A30" t="s">
        <v>22</v>
      </c>
    </row>
    <row r="31" spans="1:1">
      <c r="A31" t="s">
        <v>52</v>
      </c>
    </row>
    <row r="32" spans="1:1">
      <c r="A32" t="s">
        <v>57</v>
      </c>
    </row>
    <row r="33" spans="1:1">
      <c r="A33" t="s">
        <v>331</v>
      </c>
    </row>
    <row r="34" spans="1:1">
      <c r="A34" t="s">
        <v>332</v>
      </c>
    </row>
    <row r="35" spans="1:1">
      <c r="A35" t="s">
        <v>333</v>
      </c>
    </row>
    <row r="36" spans="1:1">
      <c r="A36" t="s">
        <v>334</v>
      </c>
    </row>
    <row r="37" spans="1:1">
      <c r="A37" t="s">
        <v>335</v>
      </c>
    </row>
    <row r="38" spans="1:1">
      <c r="A38" t="s">
        <v>57</v>
      </c>
    </row>
    <row r="39" spans="1:1">
      <c r="A39" t="s">
        <v>336</v>
      </c>
    </row>
    <row r="40" spans="1:1">
      <c r="A40" t="s">
        <v>337</v>
      </c>
    </row>
    <row r="41" spans="1:1">
      <c r="A41" t="s">
        <v>338</v>
      </c>
    </row>
    <row r="42" spans="1:1">
      <c r="A42" t="s">
        <v>339</v>
      </c>
    </row>
    <row r="43" spans="1:1">
      <c r="A43" t="s">
        <v>309</v>
      </c>
    </row>
    <row r="44" spans="1:1">
      <c r="A44" t="s">
        <v>57</v>
      </c>
    </row>
    <row r="45" spans="1:1">
      <c r="A45" t="s">
        <v>340</v>
      </c>
    </row>
    <row r="46" spans="1:1">
      <c r="A46" t="s">
        <v>341</v>
      </c>
    </row>
    <row r="47" spans="1:1">
      <c r="A47" t="s">
        <v>342</v>
      </c>
    </row>
    <row r="48" spans="1:1">
      <c r="A48" t="s">
        <v>343</v>
      </c>
    </row>
    <row r="49" spans="1:1">
      <c r="A49" t="s">
        <v>344</v>
      </c>
    </row>
    <row r="50" spans="1:1">
      <c r="A50" t="s">
        <v>57</v>
      </c>
    </row>
    <row r="51" spans="1:1">
      <c r="A51" t="s">
        <v>345</v>
      </c>
    </row>
    <row r="52" spans="1:1">
      <c r="A52" t="s">
        <v>346</v>
      </c>
    </row>
    <row r="53" spans="1:1">
      <c r="A53" t="s">
        <v>347</v>
      </c>
    </row>
    <row r="54" spans="1:1">
      <c r="A54" t="s">
        <v>348</v>
      </c>
    </row>
    <row r="55" spans="1:1">
      <c r="A55" t="s">
        <v>349</v>
      </c>
    </row>
    <row r="56" spans="1:1">
      <c r="A56" t="s">
        <v>57</v>
      </c>
    </row>
    <row r="57" spans="1:1">
      <c r="A57" t="s">
        <v>350</v>
      </c>
    </row>
    <row r="58" spans="1:1">
      <c r="A58" t="s">
        <v>351</v>
      </c>
    </row>
    <row r="59" spans="1:1">
      <c r="A59" t="s">
        <v>352</v>
      </c>
    </row>
    <row r="60" spans="1:1">
      <c r="A60" t="s">
        <v>353</v>
      </c>
    </row>
    <row r="61" spans="1:1">
      <c r="A61" t="s">
        <v>354</v>
      </c>
    </row>
    <row r="62" spans="1:1">
      <c r="A62" t="s">
        <v>57</v>
      </c>
    </row>
    <row r="63" spans="1:1">
      <c r="A63" t="s">
        <v>355</v>
      </c>
    </row>
    <row r="64" spans="1:1">
      <c r="A64" t="s">
        <v>356</v>
      </c>
    </row>
    <row r="65" spans="1:1">
      <c r="A65" t="s">
        <v>357</v>
      </c>
    </row>
    <row r="66" spans="1:1">
      <c r="A66" t="s">
        <v>358</v>
      </c>
    </row>
    <row r="67" spans="1:1">
      <c r="A67" t="s">
        <v>359</v>
      </c>
    </row>
    <row r="68" spans="1:1">
      <c r="A68" t="s">
        <v>57</v>
      </c>
    </row>
    <row r="69" spans="1:1">
      <c r="A69" t="s">
        <v>360</v>
      </c>
    </row>
    <row r="70" spans="1:1">
      <c r="A70" t="s">
        <v>361</v>
      </c>
    </row>
    <row r="71" spans="1:1">
      <c r="A71" t="s">
        <v>362</v>
      </c>
    </row>
    <row r="72" spans="1:1">
      <c r="A72" t="s">
        <v>363</v>
      </c>
    </row>
    <row r="73" spans="1:1">
      <c r="A73" t="s">
        <v>364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3"/>
  <dimension ref="A6:P18"/>
  <sheetViews>
    <sheetView workbookViewId="0">
      <selection activeCell="K7" sqref="K7"/>
    </sheetView>
  </sheetViews>
  <sheetFormatPr defaultRowHeight="15.5"/>
  <cols>
    <col min="1" max="1" width="15.6328125" style="1" customWidth="1"/>
    <col min="2" max="14" width="8.7265625" style="1"/>
    <col min="15" max="15" width="10.81640625" style="1" customWidth="1"/>
    <col min="16" max="16" width="13.54296875" style="1" customWidth="1"/>
    <col min="17" max="16384" width="8.7265625" style="1"/>
  </cols>
  <sheetData>
    <row r="6" spans="1:16">
      <c r="O6" s="1" t="s">
        <v>3</v>
      </c>
      <c r="P6" s="2">
        <v>0.24</v>
      </c>
    </row>
    <row r="7" spans="1:16"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 t="s">
        <v>4</v>
      </c>
      <c r="P7" s="1" t="s">
        <v>5</v>
      </c>
    </row>
    <row r="8" spans="1:16">
      <c r="A8" s="1" t="s">
        <v>6</v>
      </c>
      <c r="B8" s="2">
        <v>2</v>
      </c>
      <c r="C8" s="2">
        <v>4</v>
      </c>
      <c r="D8" s="2">
        <v>4</v>
      </c>
      <c r="E8" s="2">
        <v>4</v>
      </c>
      <c r="F8" s="2">
        <v>4</v>
      </c>
      <c r="G8" s="2">
        <v>4</v>
      </c>
      <c r="H8" s="2">
        <v>4</v>
      </c>
      <c r="I8" s="2">
        <v>4</v>
      </c>
      <c r="J8" s="2">
        <v>4</v>
      </c>
      <c r="K8" s="2"/>
      <c r="L8" s="2"/>
      <c r="M8" s="2"/>
      <c r="N8" s="2">
        <f>SUM(B8:J8)</f>
        <v>34</v>
      </c>
      <c r="O8" s="2"/>
      <c r="P8" s="2"/>
    </row>
    <row r="9" spans="1:16">
      <c r="A9" s="1" t="s">
        <v>7</v>
      </c>
      <c r="B9" s="2">
        <v>1</v>
      </c>
      <c r="C9" s="2">
        <v>1</v>
      </c>
      <c r="D9" s="2">
        <v>0</v>
      </c>
      <c r="E9" s="2">
        <v>3</v>
      </c>
      <c r="F9" s="2">
        <v>1</v>
      </c>
      <c r="G9" s="2">
        <v>3</v>
      </c>
      <c r="H9" s="2">
        <v>0</v>
      </c>
      <c r="I9" s="2">
        <v>3</v>
      </c>
      <c r="J9" s="2">
        <v>2</v>
      </c>
      <c r="K9" s="2"/>
      <c r="L9" s="2"/>
      <c r="M9" s="2"/>
      <c r="N9" s="2">
        <f>SUM(B9:J9)</f>
        <v>14</v>
      </c>
      <c r="O9" s="2">
        <f>N9/N$8</f>
        <v>0.41176470588235292</v>
      </c>
      <c r="P9" s="2">
        <f>O9-P$6</f>
        <v>0.17176470588235293</v>
      </c>
    </row>
    <row r="10" spans="1:16">
      <c r="A10" s="1" t="s">
        <v>7</v>
      </c>
      <c r="B10" s="2">
        <v>1</v>
      </c>
      <c r="C10" s="2">
        <v>1</v>
      </c>
      <c r="D10" s="2">
        <v>0</v>
      </c>
      <c r="E10" s="2">
        <v>3</v>
      </c>
      <c r="F10" s="2">
        <v>1</v>
      </c>
      <c r="G10" s="2">
        <v>3</v>
      </c>
      <c r="H10" s="2">
        <v>0</v>
      </c>
      <c r="I10" s="2">
        <v>3</v>
      </c>
      <c r="J10" s="2">
        <v>2</v>
      </c>
      <c r="K10" s="2"/>
      <c r="L10" s="2"/>
      <c r="M10" s="2"/>
      <c r="N10" s="2">
        <f>SUM(B10:J10)</f>
        <v>14</v>
      </c>
      <c r="O10" s="2">
        <f t="shared" ref="O10:O11" si="0">N10/N$8</f>
        <v>0.41176470588235292</v>
      </c>
      <c r="P10" s="2">
        <f>O10-P$6</f>
        <v>0.17176470588235293</v>
      </c>
    </row>
    <row r="11" spans="1:16">
      <c r="A11" s="1" t="s">
        <v>7</v>
      </c>
      <c r="B11" s="2">
        <v>1</v>
      </c>
      <c r="C11" s="2">
        <v>1</v>
      </c>
      <c r="D11" s="2">
        <v>0</v>
      </c>
      <c r="E11" s="2">
        <v>3</v>
      </c>
      <c r="F11" s="2">
        <v>1</v>
      </c>
      <c r="G11" s="2">
        <v>3</v>
      </c>
      <c r="H11" s="2">
        <v>0</v>
      </c>
      <c r="I11" s="2">
        <v>3</v>
      </c>
      <c r="J11" s="2">
        <v>2</v>
      </c>
      <c r="K11" s="2"/>
      <c r="L11" s="2"/>
      <c r="M11" s="2"/>
      <c r="N11" s="2">
        <f>SUM(B11:J11)</f>
        <v>14</v>
      </c>
      <c r="O11" s="2">
        <f t="shared" si="0"/>
        <v>0.41176470588235292</v>
      </c>
      <c r="P11" s="2">
        <f>O11-P$6</f>
        <v>0.17176470588235293</v>
      </c>
    </row>
    <row r="12" spans="1:16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</row>
    <row r="14" spans="1:16">
      <c r="O14" s="2" t="s">
        <v>3</v>
      </c>
      <c r="P14" s="2">
        <v>0.06</v>
      </c>
    </row>
    <row r="15" spans="1:16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 t="s">
        <v>4</v>
      </c>
      <c r="P15" s="1" t="s">
        <v>5</v>
      </c>
    </row>
    <row r="16" spans="1:16">
      <c r="A16" s="1" t="s">
        <v>6</v>
      </c>
      <c r="B16" s="2">
        <v>2</v>
      </c>
      <c r="C16" s="2">
        <v>4</v>
      </c>
      <c r="D16" s="2">
        <v>4</v>
      </c>
      <c r="E16" s="2">
        <v>4</v>
      </c>
      <c r="F16" s="2">
        <v>4</v>
      </c>
      <c r="G16" s="2">
        <v>4</v>
      </c>
      <c r="H16" s="2">
        <v>4</v>
      </c>
      <c r="I16" s="2">
        <v>4</v>
      </c>
      <c r="J16" s="2"/>
      <c r="K16" s="2"/>
      <c r="L16" s="2"/>
      <c r="M16" s="2"/>
      <c r="N16" s="2">
        <f>SUM(B16:J16)</f>
        <v>30</v>
      </c>
      <c r="O16" s="2"/>
      <c r="P16" s="2"/>
    </row>
    <row r="17" spans="1:16">
      <c r="A17" s="1" t="s">
        <v>7</v>
      </c>
      <c r="B17" s="2">
        <v>1</v>
      </c>
      <c r="C17" s="2">
        <v>0</v>
      </c>
      <c r="D17" s="2">
        <v>1</v>
      </c>
      <c r="E17" s="2">
        <v>1</v>
      </c>
      <c r="F17" s="2">
        <v>0</v>
      </c>
      <c r="G17" s="2">
        <v>2</v>
      </c>
      <c r="H17" s="2">
        <v>1</v>
      </c>
      <c r="I17" s="2">
        <v>1</v>
      </c>
      <c r="J17" s="2"/>
      <c r="K17" s="2"/>
      <c r="L17" s="2"/>
      <c r="M17" s="2"/>
      <c r="N17" s="2">
        <f>SUM(B17:J17)</f>
        <v>7</v>
      </c>
      <c r="O17" s="2">
        <f>N17/N$16</f>
        <v>0.23333333333333334</v>
      </c>
      <c r="P17" s="2">
        <f>O17-P$14</f>
        <v>0.17333333333333334</v>
      </c>
    </row>
    <row r="18" spans="1:16">
      <c r="A18" s="1" t="s">
        <v>7</v>
      </c>
      <c r="B18" s="2">
        <v>1</v>
      </c>
      <c r="C18" s="2">
        <v>0</v>
      </c>
      <c r="D18" s="2">
        <v>1</v>
      </c>
      <c r="E18" s="2">
        <v>1</v>
      </c>
      <c r="F18" s="2">
        <v>0</v>
      </c>
      <c r="G18" s="2">
        <v>2</v>
      </c>
      <c r="H18" s="2">
        <v>1</v>
      </c>
      <c r="I18" s="2">
        <v>1</v>
      </c>
      <c r="J18" s="2"/>
      <c r="K18" s="2"/>
      <c r="L18" s="2"/>
      <c r="M18" s="2"/>
      <c r="N18" s="2">
        <f>SUM(B18:J18)</f>
        <v>7</v>
      </c>
      <c r="O18" s="2">
        <f>N18/N$16</f>
        <v>0.23333333333333334</v>
      </c>
      <c r="P18" s="2">
        <f>O18-P$14</f>
        <v>0.17333333333333334</v>
      </c>
    </row>
  </sheetData>
  <sheetProtection sheet="1" objects="1" scenarios="1" selectLockedCells="1"/>
  <phoneticPr fontId="1" type="noConversion"/>
  <pageMargins left="0.7" right="0.7" top="0.75" bottom="0.75" header="0.3" footer="0.3"/>
  <pageSetup paperSize="9" orientation="portrait" horizontalDpi="200" verticalDpi="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1</vt:i4>
      </vt:variant>
    </vt:vector>
  </HeadingPairs>
  <TitlesOfParts>
    <vt:vector size="7" baseType="lpstr">
      <vt:lpstr>Hammer</vt:lpstr>
      <vt:lpstr>Sword</vt:lpstr>
      <vt:lpstr>Axe</vt:lpstr>
      <vt:lpstr>Language</vt:lpstr>
      <vt:lpstr>清單</vt:lpstr>
      <vt:lpstr>統計</vt:lpstr>
      <vt:lpstr>護符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2006-09-13T11:24:16Z</dcterms:created>
  <dcterms:modified xsi:type="dcterms:W3CDTF">2023-03-26T03:35:18Z</dcterms:modified>
</cp:coreProperties>
</file>